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d8ec6882c2e570/المستندات/"/>
    </mc:Choice>
  </mc:AlternateContent>
  <xr:revisionPtr revIDLastSave="0" documentId="8_{66EDA39A-03A4-4C30-AAF2-8AA441822B77}" xr6:coauthVersionLast="45" xr6:coauthVersionMax="45" xr10:uidLastSave="{00000000-0000-0000-0000-000000000000}"/>
  <bookViews>
    <workbookView xWindow="-110" yWindow="-110" windowWidth="19420" windowHeight="10420" activeTab="1" xr2:uid="{EC7B501A-8273-4BA9-A775-A8A017DB2A68}"/>
  </bookViews>
  <sheets>
    <sheet name="م بكلينات " sheetId="1" r:id="rId1"/>
    <sheet name="ورقة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2" l="1"/>
  <c r="D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E52" i="2"/>
  <c r="C51" i="2"/>
  <c r="D51" i="2"/>
  <c r="D50" i="2"/>
  <c r="C50" i="2"/>
  <c r="D49" i="2"/>
  <c r="C49" i="2" s="1"/>
  <c r="D48" i="2"/>
  <c r="C48" i="2" s="1"/>
  <c r="D47" i="2"/>
  <c r="C47" i="2" s="1"/>
  <c r="D46" i="2"/>
  <c r="C46" i="2" s="1"/>
  <c r="D45" i="2"/>
  <c r="C45" i="2" s="1"/>
  <c r="D44" i="2"/>
  <c r="C44" i="2"/>
  <c r="D43" i="2"/>
  <c r="C43" i="2" s="1"/>
  <c r="D42" i="2"/>
  <c r="C42" i="2" s="1"/>
  <c r="D41" i="2"/>
  <c r="C41" i="2" s="1"/>
  <c r="D40" i="2"/>
  <c r="C40" i="2" s="1"/>
  <c r="D39" i="2"/>
  <c r="C39" i="2" s="1"/>
  <c r="D38" i="2"/>
  <c r="C38" i="2" s="1"/>
  <c r="D37" i="2"/>
  <c r="C37" i="2"/>
  <c r="D36" i="2"/>
  <c r="C36" i="2" s="1"/>
  <c r="D35" i="2"/>
  <c r="C35" i="2"/>
  <c r="D34" i="2"/>
  <c r="C34" i="2" s="1"/>
  <c r="D33" i="2"/>
  <c r="C33" i="2" s="1"/>
  <c r="D32" i="2"/>
  <c r="C32" i="2" s="1"/>
  <c r="D31" i="2"/>
  <c r="C31" i="2" s="1"/>
  <c r="D30" i="2"/>
  <c r="C30" i="2" s="1"/>
  <c r="D29" i="2"/>
  <c r="C29" i="2"/>
  <c r="D28" i="2"/>
  <c r="E15" i="2"/>
  <c r="D15" i="2"/>
  <c r="C14" i="2"/>
  <c r="C13" i="2"/>
  <c r="C12" i="2"/>
  <c r="C10" i="2"/>
  <c r="C15" i="2" s="1"/>
  <c r="C9" i="2"/>
  <c r="C8" i="2"/>
  <c r="F7" i="1"/>
  <c r="F6" i="1"/>
  <c r="C10" i="1"/>
  <c r="A9" i="1"/>
  <c r="B8" i="1"/>
  <c r="B10" i="1" s="1"/>
  <c r="A7" i="1"/>
  <c r="A6" i="1"/>
  <c r="A5" i="1"/>
  <c r="C74" i="2" l="1"/>
  <c r="D52" i="2"/>
  <c r="C28" i="2"/>
  <c r="C52" i="2" s="1"/>
  <c r="A8" i="1"/>
  <c r="A10" i="1"/>
</calcChain>
</file>

<file path=xl/sharedStrings.xml><?xml version="1.0" encoding="utf-8"?>
<sst xmlns="http://schemas.openxmlformats.org/spreadsheetml/2006/main" count="139" uniqueCount="86">
  <si>
    <t xml:space="preserve">الإجماليSAR </t>
  </si>
  <si>
    <t xml:space="preserve">ضريبة القيمة المضافه </t>
  </si>
  <si>
    <t xml:space="preserve">المبلغ </t>
  </si>
  <si>
    <t xml:space="preserve">البيان </t>
  </si>
  <si>
    <t>م</t>
  </si>
  <si>
    <t xml:space="preserve">مصاريف عمومية </t>
  </si>
  <si>
    <t>ديزل (القصيم )</t>
  </si>
  <si>
    <t xml:space="preserve">بترول الونيت </t>
  </si>
  <si>
    <t xml:space="preserve">مصاريف قطع غيار وصلاحات بكلينات  </t>
  </si>
  <si>
    <t>قطع غيار وصلاحات في القصيم +شحوم(القصيم)</t>
  </si>
  <si>
    <t xml:space="preserve">الاجمالي </t>
  </si>
  <si>
    <t>مصاريف بكلينات شهرديسمبر 2020 م (12/2020)</t>
  </si>
  <si>
    <t xml:space="preserve">( 1)    مصاريف عمومية </t>
  </si>
  <si>
    <t>ملاحظه</t>
  </si>
  <si>
    <t>الرقم الضريبي</t>
  </si>
  <si>
    <t>الإجمالي SAR</t>
  </si>
  <si>
    <t xml:space="preserve">الضريبه </t>
  </si>
  <si>
    <t xml:space="preserve">الاسم </t>
  </si>
  <si>
    <t xml:space="preserve">التاريخ </t>
  </si>
  <si>
    <t xml:space="preserve">كرت شحن </t>
  </si>
  <si>
    <t xml:space="preserve">تسهيلات الشمال </t>
  </si>
  <si>
    <t>01نوفمبر</t>
  </si>
  <si>
    <t xml:space="preserve">فواق للاجرة </t>
  </si>
  <si>
    <t>08نوفمبر</t>
  </si>
  <si>
    <t xml:space="preserve">أساس القواعد اجرة عامة </t>
  </si>
  <si>
    <t>09نوفمبر</t>
  </si>
  <si>
    <t xml:space="preserve">مؤسسة سعد محمد اجرة عامة </t>
  </si>
  <si>
    <t>10نوفمبر</t>
  </si>
  <si>
    <t xml:space="preserve">مجموعة القاموس </t>
  </si>
  <si>
    <t>23نوفمبر</t>
  </si>
  <si>
    <t xml:space="preserve">شركة شمل </t>
  </si>
  <si>
    <t xml:space="preserve">شركة جاد اجرة عامة </t>
  </si>
  <si>
    <t>25نوفمبر</t>
  </si>
  <si>
    <t xml:space="preserve">الإجمالي </t>
  </si>
  <si>
    <t>( 4)     قطع غيار وصلاحات في القصيم +شحوم(القصيم)</t>
  </si>
  <si>
    <t xml:space="preserve">شركة عبداللطيف جميل </t>
  </si>
  <si>
    <t xml:space="preserve">مؤسسة الغامدي للتجارة </t>
  </si>
  <si>
    <t>07نوفمبر</t>
  </si>
  <si>
    <t>شركة بن هاشم والحسين</t>
  </si>
  <si>
    <t xml:space="preserve">سلطان مناحي القحطاني </t>
  </si>
  <si>
    <t>16نوفمبر</t>
  </si>
  <si>
    <t xml:space="preserve">مؤسسة وضاح الجزيرة </t>
  </si>
  <si>
    <t>20نوفمبر</t>
  </si>
  <si>
    <t>شركة مجموعة منيف النهدي</t>
  </si>
  <si>
    <t>19نوفمبر</t>
  </si>
  <si>
    <t>شركة ميزان العضيب</t>
  </si>
  <si>
    <t>معرض الغامدي</t>
  </si>
  <si>
    <t xml:space="preserve">مؤسسة الوعول للتجارة </t>
  </si>
  <si>
    <t>22نوفمبر</t>
  </si>
  <si>
    <t>مؤسسة عبدالله صالح البلال</t>
  </si>
  <si>
    <t>24نوفمبر</t>
  </si>
  <si>
    <t xml:space="preserve">مركز الخدمات الصناعية </t>
  </si>
  <si>
    <t xml:space="preserve">شركة اعمال الرمان للتجارة </t>
  </si>
  <si>
    <t xml:space="preserve">شركة معدات الطرق للتجارة </t>
  </si>
  <si>
    <t>28نوفمبر</t>
  </si>
  <si>
    <t xml:space="preserve">مؤسسة رياض حسين </t>
  </si>
  <si>
    <t xml:space="preserve">ورشة السديس اصلاح طرمبات الديزل </t>
  </si>
  <si>
    <t>26نوفمبر</t>
  </si>
  <si>
    <t xml:space="preserve">مؤسسة عامر سالم بانعيم </t>
  </si>
  <si>
    <t>01ديسمبر</t>
  </si>
  <si>
    <t xml:space="preserve">مصدر للتجهيزات الفنية </t>
  </si>
  <si>
    <t xml:space="preserve">شركة سان الدولية </t>
  </si>
  <si>
    <t>02ديسمبر</t>
  </si>
  <si>
    <t xml:space="preserve">مؤسسو محمد سعيد عبدالرحمن </t>
  </si>
  <si>
    <t>03ديسمبر</t>
  </si>
  <si>
    <t>مركز القحطاني لخدمات السيارات</t>
  </si>
  <si>
    <t xml:space="preserve">مؤسسة بندر العنزي </t>
  </si>
  <si>
    <t>مؤسسة وليد العنزي</t>
  </si>
  <si>
    <t xml:space="preserve">مصنع اكسجين الرياض </t>
  </si>
  <si>
    <t xml:space="preserve">مركز الفهد </t>
  </si>
  <si>
    <t xml:space="preserve">مؤسسة عبدالله صالح </t>
  </si>
  <si>
    <t xml:space="preserve">ورشة القصيم </t>
  </si>
  <si>
    <t xml:space="preserve">ورشة محمد عبدالله </t>
  </si>
  <si>
    <t xml:space="preserve">محل مرزوق عبدالله </t>
  </si>
  <si>
    <t xml:space="preserve">شركة نايف </t>
  </si>
  <si>
    <t xml:space="preserve">مخرطة سبائل السلام </t>
  </si>
  <si>
    <t>شركة الكعيب زينة سيارات</t>
  </si>
  <si>
    <t>مشحمة النور الدريس</t>
  </si>
  <si>
    <t>03نوفمبر</t>
  </si>
  <si>
    <t xml:space="preserve">ورشة اصلاح شكمانات </t>
  </si>
  <si>
    <t xml:space="preserve">ورشة مجموعة زهرة </t>
  </si>
  <si>
    <t xml:space="preserve">مصاريف ديسمبر  2020 بكلينات </t>
  </si>
  <si>
    <t xml:space="preserve">مصاريف مع ضريبة VATشهر ديسمبر 2020 بكلينات </t>
  </si>
  <si>
    <t xml:space="preserve">(5)   ديسمبر 2020   قطع غيار وصلاحات ونقليات القصيم </t>
  </si>
  <si>
    <t>ؤ     ؤربلث</t>
  </si>
  <si>
    <t xml:space="preserve">     كطا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</si>
</sst>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24"/>
      <color rgb="FF0070C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/>
    <xf numFmtId="43" fontId="5" fillId="0" borderId="2" xfId="1" applyFont="1" applyBorder="1"/>
    <xf numFmtId="43" fontId="5" fillId="0" borderId="4" xfId="1" applyFont="1" applyBorder="1"/>
    <xf numFmtId="0" fontId="3" fillId="0" borderId="5" xfId="0" applyFont="1" applyBorder="1"/>
    <xf numFmtId="0" fontId="3" fillId="0" borderId="2" xfId="0" applyFont="1" applyBorder="1"/>
    <xf numFmtId="43" fontId="6" fillId="4" borderId="2" xfId="1" applyFont="1" applyFill="1" applyBorder="1"/>
    <xf numFmtId="0" fontId="7" fillId="4" borderId="6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43" fontId="0" fillId="0" borderId="0" xfId="1" applyFont="1"/>
    <xf numFmtId="43" fontId="5" fillId="0" borderId="0" xfId="1" applyFont="1" applyBorder="1"/>
    <xf numFmtId="0" fontId="5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2" xfId="0" applyFont="1" applyBorder="1" applyAlignment="1">
      <alignment vertical="top"/>
    </xf>
    <xf numFmtId="1" fontId="7" fillId="0" borderId="12" xfId="0" applyNumberFormat="1" applyFont="1" applyBorder="1"/>
    <xf numFmtId="43" fontId="7" fillId="0" borderId="13" xfId="1" applyFont="1" applyBorder="1"/>
    <xf numFmtId="0" fontId="7" fillId="0" borderId="13" xfId="0" applyFont="1" applyBorder="1"/>
    <xf numFmtId="14" fontId="7" fillId="0" borderId="13" xfId="0" applyNumberFormat="1" applyFont="1" applyBorder="1"/>
    <xf numFmtId="1" fontId="7" fillId="0" borderId="5" xfId="0" applyNumberFormat="1" applyFont="1" applyBorder="1"/>
    <xf numFmtId="43" fontId="7" fillId="0" borderId="2" xfId="1" applyFont="1" applyBorder="1"/>
    <xf numFmtId="0" fontId="7" fillId="0" borderId="2" xfId="0" applyFont="1" applyBorder="1"/>
    <xf numFmtId="14" fontId="7" fillId="0" borderId="2" xfId="0" applyNumberFormat="1" applyFont="1" applyBorder="1"/>
    <xf numFmtId="0" fontId="7" fillId="6" borderId="13" xfId="0" applyFont="1" applyFill="1" applyBorder="1"/>
    <xf numFmtId="1" fontId="7" fillId="6" borderId="2" xfId="0" applyNumberFormat="1" applyFont="1" applyFill="1" applyBorder="1"/>
    <xf numFmtId="43" fontId="7" fillId="6" borderId="2" xfId="1" applyFont="1" applyFill="1" applyBorder="1"/>
    <xf numFmtId="4" fontId="7" fillId="6" borderId="2" xfId="0" applyNumberFormat="1" applyFont="1" applyFill="1" applyBorder="1"/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8" fillId="0" borderId="15" xfId="0" applyFont="1" applyBorder="1" applyAlignment="1">
      <alignment vertical="top" wrapText="1"/>
    </xf>
    <xf numFmtId="14" fontId="7" fillId="0" borderId="3" xfId="0" applyNumberFormat="1" applyFont="1" applyBorder="1"/>
    <xf numFmtId="0" fontId="7" fillId="4" borderId="2" xfId="0" applyFont="1" applyFill="1" applyBorder="1"/>
    <xf numFmtId="1" fontId="7" fillId="4" borderId="2" xfId="0" applyNumberFormat="1" applyFont="1" applyFill="1" applyBorder="1"/>
    <xf numFmtId="43" fontId="7" fillId="4" borderId="2" xfId="1" applyFont="1" applyFill="1" applyBorder="1"/>
    <xf numFmtId="4" fontId="7" fillId="4" borderId="2" xfId="0" applyNumberFormat="1" applyFont="1" applyFill="1" applyBorder="1"/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43" fontId="5" fillId="0" borderId="0" xfId="1" applyFont="1" applyFill="1" applyBorder="1"/>
    <xf numFmtId="43" fontId="0" fillId="0" borderId="0" xfId="0" applyNumberFormat="1"/>
    <xf numFmtId="0" fontId="6" fillId="0" borderId="16" xfId="0" applyFont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8" fillId="0" borderId="19" xfId="0" applyFont="1" applyBorder="1" applyAlignment="1">
      <alignment vertical="top" wrapText="1"/>
    </xf>
    <xf numFmtId="43" fontId="8" fillId="0" borderId="2" xfId="1" applyFont="1" applyBorder="1"/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96CA-6A8E-4344-9E28-4448C099DDB2}">
  <sheetPr>
    <tabColor rgb="FFFF0000"/>
  </sheetPr>
  <dimension ref="A3:F22"/>
  <sheetViews>
    <sheetView zoomScale="81" zoomScaleNormal="81" workbookViewId="0">
      <selection activeCell="C7" sqref="C7"/>
    </sheetView>
  </sheetViews>
  <sheetFormatPr defaultRowHeight="14" x14ac:dyDescent="0.3"/>
  <cols>
    <col min="1" max="1" width="25.25" bestFit="1" customWidth="1"/>
    <col min="2" max="2" width="20.83203125" bestFit="1" customWidth="1"/>
    <col min="3" max="3" width="23.25" bestFit="1" customWidth="1"/>
    <col min="4" max="4" width="85" bestFit="1" customWidth="1"/>
  </cols>
  <sheetData>
    <row r="3" spans="1:6" ht="25" x14ac:dyDescent="0.5">
      <c r="A3" s="1" t="s">
        <v>11</v>
      </c>
      <c r="B3" s="1"/>
      <c r="C3" s="1"/>
      <c r="D3" s="1"/>
      <c r="E3" s="1"/>
    </row>
    <row r="4" spans="1:6" ht="48" x14ac:dyDescent="0.7">
      <c r="A4" s="2" t="s">
        <v>0</v>
      </c>
      <c r="B4" s="3" t="s">
        <v>1</v>
      </c>
      <c r="C4" s="4" t="s">
        <v>2</v>
      </c>
      <c r="D4" s="2" t="s">
        <v>3</v>
      </c>
      <c r="E4" s="5" t="s">
        <v>4</v>
      </c>
    </row>
    <row r="5" spans="1:6" ht="35" x14ac:dyDescent="0.7">
      <c r="A5" s="6">
        <f>C5+B5</f>
        <v>0</v>
      </c>
      <c r="B5" s="7">
        <v>0</v>
      </c>
      <c r="C5" s="6">
        <v>0</v>
      </c>
      <c r="D5" s="8" t="s">
        <v>5</v>
      </c>
      <c r="E5" s="9">
        <v>1</v>
      </c>
    </row>
    <row r="6" spans="1:6" ht="35" x14ac:dyDescent="0.7">
      <c r="A6" s="6">
        <f>C6+B6</f>
        <v>6436</v>
      </c>
      <c r="B6" s="7">
        <v>0</v>
      </c>
      <c r="C6" s="6">
        <v>6436</v>
      </c>
      <c r="D6" s="8" t="s">
        <v>6</v>
      </c>
      <c r="E6" s="9">
        <v>2</v>
      </c>
      <c r="F6">
        <f>165+210+193+184+192+155+210+135+210+150+210+210+150+180+211+150+210+100+210+130+210+210+120+158+100+165+200+208+208+212+119+115+150+213+172+100+211</f>
        <v>6436</v>
      </c>
    </row>
    <row r="7" spans="1:6" ht="35" x14ac:dyDescent="0.7">
      <c r="A7" s="6">
        <f t="shared" ref="A7:A9" si="0">C7+B7</f>
        <v>2093</v>
      </c>
      <c r="B7" s="7">
        <v>0</v>
      </c>
      <c r="C7" s="6">
        <v>2093</v>
      </c>
      <c r="D7" s="8" t="s">
        <v>7</v>
      </c>
      <c r="E7" s="9">
        <v>3</v>
      </c>
      <c r="F7">
        <f>96+59+50+72+98+85+90+50+42+100+20+55+10+64+80+98+94+83+98+100+86+95+50+91+96+66+76+89</f>
        <v>2093</v>
      </c>
    </row>
    <row r="8" spans="1:6" ht="35" x14ac:dyDescent="0.7">
      <c r="A8" s="6">
        <f t="shared" si="0"/>
        <v>0</v>
      </c>
      <c r="B8" s="7">
        <f>C8*15%</f>
        <v>0</v>
      </c>
      <c r="C8" s="6">
        <v>0</v>
      </c>
      <c r="D8" s="8" t="s">
        <v>8</v>
      </c>
      <c r="E8" s="9">
        <v>4</v>
      </c>
    </row>
    <row r="9" spans="1:6" ht="35.5" thickBot="1" x14ac:dyDescent="0.75">
      <c r="A9" s="6">
        <f t="shared" si="0"/>
        <v>0</v>
      </c>
      <c r="B9" s="7">
        <v>0</v>
      </c>
      <c r="C9" s="6">
        <v>0</v>
      </c>
      <c r="D9" s="8" t="s">
        <v>9</v>
      </c>
      <c r="E9" s="9">
        <v>5</v>
      </c>
    </row>
    <row r="10" spans="1:6" ht="30.5" thickBot="1" x14ac:dyDescent="0.65">
      <c r="A10" s="10">
        <f>SUM(A5:A9)</f>
        <v>8529</v>
      </c>
      <c r="B10" s="10">
        <f>SUM(B5:B9)</f>
        <v>0</v>
      </c>
      <c r="C10" s="10">
        <f>SUM(C5:C9)</f>
        <v>8529</v>
      </c>
      <c r="D10" s="11" t="s">
        <v>10</v>
      </c>
      <c r="E10" s="12"/>
    </row>
    <row r="11" spans="1:6" ht="22.5" x14ac:dyDescent="0.45">
      <c r="C11" s="13"/>
      <c r="D11" s="14"/>
      <c r="E11" s="15"/>
    </row>
    <row r="12" spans="1:6" x14ac:dyDescent="0.3">
      <c r="C12" s="13"/>
    </row>
    <row r="13" spans="1:6" x14ac:dyDescent="0.3">
      <c r="C13" s="13"/>
    </row>
    <row r="14" spans="1:6" x14ac:dyDescent="0.3">
      <c r="C14" s="13"/>
    </row>
    <row r="15" spans="1:6" x14ac:dyDescent="0.3">
      <c r="C15" s="13"/>
    </row>
    <row r="16" spans="1:6" x14ac:dyDescent="0.3">
      <c r="C16" s="13"/>
    </row>
    <row r="17" spans="3:3" x14ac:dyDescent="0.3">
      <c r="C17" s="13"/>
    </row>
    <row r="18" spans="3:3" x14ac:dyDescent="0.3">
      <c r="C18" s="13"/>
    </row>
    <row r="19" spans="3:3" x14ac:dyDescent="0.3">
      <c r="C19" s="13"/>
    </row>
    <row r="20" spans="3:3" x14ac:dyDescent="0.3">
      <c r="C20" s="13"/>
    </row>
    <row r="21" spans="3:3" x14ac:dyDescent="0.3">
      <c r="C21" s="13"/>
    </row>
    <row r="22" spans="3:3" x14ac:dyDescent="0.3">
      <c r="C22" s="13"/>
    </row>
  </sheetData>
  <mergeCells count="2">
    <mergeCell ref="A3:E3"/>
    <mergeCell ref="D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6B10-E102-467B-A336-C4DD37759C3B}">
  <dimension ref="A5:G129"/>
  <sheetViews>
    <sheetView tabSelected="1" zoomScaleNormal="100" workbookViewId="0">
      <selection activeCell="D9" sqref="D9"/>
    </sheetView>
  </sheetViews>
  <sheetFormatPr defaultRowHeight="14" x14ac:dyDescent="0.3"/>
  <cols>
    <col min="1" max="1" width="35.08203125" bestFit="1" customWidth="1"/>
    <col min="2" max="2" width="38" bestFit="1" customWidth="1"/>
    <col min="3" max="3" width="22.4140625" bestFit="1" customWidth="1"/>
    <col min="4" max="4" width="19.4140625" customWidth="1"/>
    <col min="5" max="5" width="22.4140625" bestFit="1" customWidth="1"/>
    <col min="6" max="6" width="50.1640625" bestFit="1" customWidth="1"/>
    <col min="7" max="7" width="18.58203125" customWidth="1"/>
  </cols>
  <sheetData>
    <row r="5" spans="1:7" ht="30" x14ac:dyDescent="0.6">
      <c r="A5" s="16"/>
      <c r="B5" s="17" t="s">
        <v>81</v>
      </c>
      <c r="C5" s="17"/>
      <c r="D5" s="17"/>
      <c r="E5" s="17"/>
      <c r="F5" s="17"/>
      <c r="G5" s="16"/>
    </row>
    <row r="6" spans="1:7" ht="30.5" thickBot="1" x14ac:dyDescent="0.65">
      <c r="A6" s="18" t="s">
        <v>12</v>
      </c>
      <c r="B6" s="19" t="s">
        <v>9</v>
      </c>
      <c r="C6" s="19"/>
      <c r="D6" s="19"/>
      <c r="E6" s="19"/>
      <c r="F6" s="19"/>
      <c r="G6" s="20"/>
    </row>
    <row r="7" spans="1:7" ht="30.5" thickBot="1" x14ac:dyDescent="0.65">
      <c r="A7" s="21" t="s">
        <v>13</v>
      </c>
      <c r="B7" s="22" t="s">
        <v>14</v>
      </c>
      <c r="C7" s="22" t="s">
        <v>15</v>
      </c>
      <c r="D7" s="22" t="s">
        <v>16</v>
      </c>
      <c r="E7" s="22" t="s">
        <v>2</v>
      </c>
      <c r="F7" s="22" t="s">
        <v>17</v>
      </c>
      <c r="G7" s="23" t="s">
        <v>18</v>
      </c>
    </row>
    <row r="8" spans="1:7" ht="29.5" customHeight="1" x14ac:dyDescent="0.55000000000000004">
      <c r="A8" s="24" t="s">
        <v>19</v>
      </c>
      <c r="B8" s="25"/>
      <c r="C8" s="26">
        <f>E8+D8</f>
        <v>0</v>
      </c>
      <c r="D8" s="26">
        <v>0</v>
      </c>
      <c r="E8" s="26"/>
      <c r="F8" s="27" t="s">
        <v>20</v>
      </c>
      <c r="G8" s="28" t="s">
        <v>21</v>
      </c>
    </row>
    <row r="9" spans="1:7" ht="29.5" customHeight="1" x14ac:dyDescent="0.55000000000000004">
      <c r="A9" s="24"/>
      <c r="B9" s="29"/>
      <c r="C9" s="26">
        <f t="shared" ref="C9:C14" si="0">E9+D9</f>
        <v>0</v>
      </c>
      <c r="D9" s="26">
        <v>0</v>
      </c>
      <c r="E9" s="30"/>
      <c r="F9" s="31" t="s">
        <v>22</v>
      </c>
      <c r="G9" s="32" t="s">
        <v>23</v>
      </c>
    </row>
    <row r="10" spans="1:7" ht="29.5" customHeight="1" x14ac:dyDescent="0.55000000000000004">
      <c r="A10" s="24"/>
      <c r="B10" s="29"/>
      <c r="C10" s="26">
        <f t="shared" si="0"/>
        <v>0</v>
      </c>
      <c r="D10" s="26">
        <v>0</v>
      </c>
      <c r="E10" s="30"/>
      <c r="F10" s="31" t="s">
        <v>24</v>
      </c>
      <c r="G10" s="32" t="s">
        <v>25</v>
      </c>
    </row>
    <row r="11" spans="1:7" ht="29.5" customHeight="1" x14ac:dyDescent="0.55000000000000004">
      <c r="A11" s="24"/>
      <c r="B11" s="29"/>
      <c r="C11" s="26"/>
      <c r="D11" s="26">
        <v>0</v>
      </c>
      <c r="E11" s="30"/>
      <c r="F11" s="31" t="s">
        <v>26</v>
      </c>
      <c r="G11" s="32" t="s">
        <v>27</v>
      </c>
    </row>
    <row r="12" spans="1:7" ht="29.5" customHeight="1" x14ac:dyDescent="0.55000000000000004">
      <c r="A12" s="24"/>
      <c r="B12" s="29"/>
      <c r="C12" s="26">
        <f>E12+D12</f>
        <v>0</v>
      </c>
      <c r="D12" s="26">
        <v>0</v>
      </c>
      <c r="E12" s="30"/>
      <c r="F12" s="31" t="s">
        <v>28</v>
      </c>
      <c r="G12" s="32" t="s">
        <v>29</v>
      </c>
    </row>
    <row r="13" spans="1:7" ht="29.5" customHeight="1" x14ac:dyDescent="0.55000000000000004">
      <c r="A13" s="24"/>
      <c r="B13" s="29"/>
      <c r="C13" s="26">
        <f>E13+D13</f>
        <v>0</v>
      </c>
      <c r="D13" s="26">
        <v>0</v>
      </c>
      <c r="E13" s="30"/>
      <c r="F13" s="31" t="s">
        <v>30</v>
      </c>
      <c r="G13" s="32" t="s">
        <v>29</v>
      </c>
    </row>
    <row r="14" spans="1:7" ht="29.5" customHeight="1" x14ac:dyDescent="0.55000000000000004">
      <c r="A14" s="24"/>
      <c r="B14" s="29"/>
      <c r="C14" s="26">
        <f t="shared" si="0"/>
        <v>0</v>
      </c>
      <c r="D14" s="26">
        <v>0</v>
      </c>
      <c r="E14" s="30"/>
      <c r="F14" s="31" t="s">
        <v>31</v>
      </c>
      <c r="G14" s="32" t="s">
        <v>32</v>
      </c>
    </row>
    <row r="15" spans="1:7" ht="29.5" x14ac:dyDescent="0.55000000000000004">
      <c r="A15" s="33"/>
      <c r="B15" s="34"/>
      <c r="C15" s="35">
        <f>SUM(C8:C14)</f>
        <v>0</v>
      </c>
      <c r="D15" s="36">
        <f>SUM(D8:D14)</f>
        <v>0</v>
      </c>
      <c r="E15" s="35">
        <f>SUM(E8:E14)</f>
        <v>0</v>
      </c>
      <c r="F15" s="37" t="s">
        <v>33</v>
      </c>
      <c r="G15" s="38"/>
    </row>
    <row r="25" spans="1:7" ht="30" x14ac:dyDescent="0.6">
      <c r="A25" s="16"/>
      <c r="B25" s="17" t="s">
        <v>82</v>
      </c>
      <c r="C25" s="17"/>
      <c r="D25" s="17"/>
      <c r="E25" s="17"/>
      <c r="F25" s="17"/>
      <c r="G25" s="16"/>
    </row>
    <row r="26" spans="1:7" ht="30.5" thickBot="1" x14ac:dyDescent="0.65">
      <c r="A26" s="18" t="s">
        <v>34</v>
      </c>
      <c r="B26" s="19" t="s">
        <v>9</v>
      </c>
      <c r="C26" s="19"/>
      <c r="D26" s="19"/>
      <c r="E26" s="19"/>
      <c r="F26" s="19"/>
      <c r="G26" s="20"/>
    </row>
    <row r="27" spans="1:7" ht="30.5" thickBot="1" x14ac:dyDescent="0.65">
      <c r="A27" s="39" t="s">
        <v>13</v>
      </c>
      <c r="B27" s="40" t="s">
        <v>14</v>
      </c>
      <c r="C27" s="40" t="s">
        <v>15</v>
      </c>
      <c r="D27" s="40" t="s">
        <v>16</v>
      </c>
      <c r="E27" s="40" t="s">
        <v>2</v>
      </c>
      <c r="F27" s="40" t="s">
        <v>17</v>
      </c>
      <c r="G27" s="41" t="s">
        <v>18</v>
      </c>
    </row>
    <row r="28" spans="1:7" ht="29.5" customHeight="1" x14ac:dyDescent="0.55000000000000004">
      <c r="A28" s="42"/>
      <c r="B28" s="25">
        <v>300843653200003</v>
      </c>
      <c r="C28" s="26">
        <f>E28+D28</f>
        <v>0</v>
      </c>
      <c r="D28" s="26">
        <f>E28*15%</f>
        <v>0</v>
      </c>
      <c r="E28" s="26"/>
      <c r="F28" s="27" t="s">
        <v>35</v>
      </c>
      <c r="G28" s="28" t="s">
        <v>21</v>
      </c>
    </row>
    <row r="29" spans="1:7" ht="29.5" customHeight="1" x14ac:dyDescent="0.55000000000000004">
      <c r="A29" s="42"/>
      <c r="B29" s="25">
        <v>300843653200003</v>
      </c>
      <c r="C29" s="26">
        <f t="shared" ref="C29:C51" si="1">E29+D29</f>
        <v>0</v>
      </c>
      <c r="D29" s="26">
        <f t="shared" ref="D29:D51" si="2">E29*15%</f>
        <v>0</v>
      </c>
      <c r="E29" s="30"/>
      <c r="F29" s="31" t="s">
        <v>35</v>
      </c>
      <c r="G29" s="32" t="s">
        <v>21</v>
      </c>
    </row>
    <row r="30" spans="1:7" ht="29.5" customHeight="1" x14ac:dyDescent="0.55000000000000004">
      <c r="A30" s="42"/>
      <c r="B30" s="29">
        <v>300683377100003</v>
      </c>
      <c r="C30" s="26">
        <f t="shared" si="1"/>
        <v>0</v>
      </c>
      <c r="D30" s="26">
        <f t="shared" si="2"/>
        <v>0</v>
      </c>
      <c r="E30" s="30"/>
      <c r="F30" s="31" t="s">
        <v>36</v>
      </c>
      <c r="G30" s="32" t="s">
        <v>37</v>
      </c>
    </row>
    <row r="31" spans="1:7" ht="29.5" customHeight="1" x14ac:dyDescent="0.55000000000000004">
      <c r="A31" s="42"/>
      <c r="B31" s="29">
        <v>300683377100003</v>
      </c>
      <c r="C31" s="26">
        <f t="shared" si="1"/>
        <v>0</v>
      </c>
      <c r="D31" s="26">
        <f t="shared" si="2"/>
        <v>0</v>
      </c>
      <c r="E31" s="30"/>
      <c r="F31" s="31" t="s">
        <v>36</v>
      </c>
      <c r="G31" s="32" t="s">
        <v>23</v>
      </c>
    </row>
    <row r="32" spans="1:7" ht="29.5" customHeight="1" x14ac:dyDescent="0.55000000000000004">
      <c r="A32" s="42"/>
      <c r="B32" s="29">
        <v>300039894300003</v>
      </c>
      <c r="C32" s="26">
        <f t="shared" si="1"/>
        <v>0</v>
      </c>
      <c r="D32" s="26">
        <f t="shared" si="2"/>
        <v>0</v>
      </c>
      <c r="E32" s="30"/>
      <c r="F32" s="31" t="s">
        <v>38</v>
      </c>
      <c r="G32" s="43" t="s">
        <v>23</v>
      </c>
    </row>
    <row r="33" spans="1:7" ht="29.5" customHeight="1" x14ac:dyDescent="0.55000000000000004">
      <c r="A33" s="42"/>
      <c r="B33" s="29">
        <v>301130206700003</v>
      </c>
      <c r="C33" s="26">
        <f t="shared" si="1"/>
        <v>0</v>
      </c>
      <c r="D33" s="26">
        <f t="shared" si="2"/>
        <v>0</v>
      </c>
      <c r="E33" s="30"/>
      <c r="F33" s="31" t="s">
        <v>39</v>
      </c>
      <c r="G33" s="43" t="s">
        <v>40</v>
      </c>
    </row>
    <row r="34" spans="1:7" ht="29.5" customHeight="1" x14ac:dyDescent="0.55000000000000004">
      <c r="A34" s="42"/>
      <c r="B34" s="29">
        <v>302161008200003</v>
      </c>
      <c r="C34" s="26">
        <f t="shared" si="1"/>
        <v>0</v>
      </c>
      <c r="D34" s="26">
        <f t="shared" si="2"/>
        <v>0</v>
      </c>
      <c r="E34" s="30"/>
      <c r="F34" s="31" t="s">
        <v>41</v>
      </c>
      <c r="G34" s="43" t="s">
        <v>42</v>
      </c>
    </row>
    <row r="35" spans="1:7" ht="29.5" customHeight="1" x14ac:dyDescent="0.55000000000000004">
      <c r="A35" s="42"/>
      <c r="B35" s="29">
        <v>300100661900003</v>
      </c>
      <c r="C35" s="26">
        <f t="shared" si="1"/>
        <v>0</v>
      </c>
      <c r="D35" s="26">
        <f t="shared" si="2"/>
        <v>0</v>
      </c>
      <c r="E35" s="30"/>
      <c r="F35" s="31" t="s">
        <v>43</v>
      </c>
      <c r="G35" s="43" t="s">
        <v>44</v>
      </c>
    </row>
    <row r="36" spans="1:7" ht="29.5" customHeight="1" x14ac:dyDescent="0.55000000000000004">
      <c r="A36" s="42"/>
      <c r="B36" s="29">
        <v>302161008200003</v>
      </c>
      <c r="C36" s="26">
        <f t="shared" si="1"/>
        <v>0</v>
      </c>
      <c r="D36" s="26">
        <f t="shared" si="2"/>
        <v>0</v>
      </c>
      <c r="E36" s="30"/>
      <c r="F36" s="31" t="s">
        <v>41</v>
      </c>
      <c r="G36" s="43" t="s">
        <v>42</v>
      </c>
    </row>
    <row r="37" spans="1:7" ht="29.5" customHeight="1" x14ac:dyDescent="0.55000000000000004">
      <c r="A37" s="42"/>
      <c r="B37" s="29">
        <v>300117962100003</v>
      </c>
      <c r="C37" s="26">
        <f t="shared" si="1"/>
        <v>0</v>
      </c>
      <c r="D37" s="26">
        <f t="shared" si="2"/>
        <v>0</v>
      </c>
      <c r="E37" s="30"/>
      <c r="F37" s="31" t="s">
        <v>45</v>
      </c>
      <c r="G37" s="43" t="s">
        <v>29</v>
      </c>
    </row>
    <row r="38" spans="1:7" ht="29.5" customHeight="1" x14ac:dyDescent="0.55000000000000004">
      <c r="A38" s="42"/>
      <c r="B38" s="29">
        <v>300683377100003</v>
      </c>
      <c r="C38" s="26">
        <f t="shared" si="1"/>
        <v>0</v>
      </c>
      <c r="D38" s="26">
        <f t="shared" si="2"/>
        <v>0</v>
      </c>
      <c r="E38" s="30"/>
      <c r="F38" s="31" t="s">
        <v>46</v>
      </c>
      <c r="G38" s="43" t="s">
        <v>29</v>
      </c>
    </row>
    <row r="39" spans="1:7" ht="29.5" customHeight="1" x14ac:dyDescent="0.55000000000000004">
      <c r="A39" s="42"/>
      <c r="B39" s="29">
        <v>300496793400003</v>
      </c>
      <c r="C39" s="26">
        <f t="shared" si="1"/>
        <v>0</v>
      </c>
      <c r="D39" s="26">
        <f t="shared" si="2"/>
        <v>0</v>
      </c>
      <c r="E39" s="30"/>
      <c r="F39" s="31" t="s">
        <v>47</v>
      </c>
      <c r="G39" s="43" t="s">
        <v>48</v>
      </c>
    </row>
    <row r="40" spans="1:7" ht="29.5" customHeight="1" x14ac:dyDescent="0.55000000000000004">
      <c r="A40" s="42"/>
      <c r="B40" s="29">
        <v>300020656500003</v>
      </c>
      <c r="C40" s="26">
        <f t="shared" si="1"/>
        <v>0</v>
      </c>
      <c r="D40" s="26">
        <f t="shared" si="2"/>
        <v>0</v>
      </c>
      <c r="E40" s="30"/>
      <c r="F40" s="31" t="s">
        <v>49</v>
      </c>
      <c r="G40" s="43" t="s">
        <v>50</v>
      </c>
    </row>
    <row r="41" spans="1:7" ht="29.5" customHeight="1" x14ac:dyDescent="0.6">
      <c r="A41" s="42"/>
      <c r="B41" s="29">
        <v>300817051100003</v>
      </c>
      <c r="C41" s="26">
        <f t="shared" si="1"/>
        <v>0</v>
      </c>
      <c r="D41" s="26">
        <f t="shared" si="2"/>
        <v>0</v>
      </c>
      <c r="E41" s="56"/>
      <c r="F41" s="31" t="s">
        <v>51</v>
      </c>
      <c r="G41" s="43" t="s">
        <v>50</v>
      </c>
    </row>
    <row r="42" spans="1:7" ht="29.5" customHeight="1" x14ac:dyDescent="0.55000000000000004">
      <c r="A42" s="42"/>
      <c r="B42" s="29">
        <v>300307285200003</v>
      </c>
      <c r="C42" s="26">
        <f t="shared" si="1"/>
        <v>0</v>
      </c>
      <c r="D42" s="26">
        <f t="shared" si="2"/>
        <v>0</v>
      </c>
      <c r="E42" s="30"/>
      <c r="F42" s="31" t="s">
        <v>52</v>
      </c>
      <c r="G42" s="43" t="s">
        <v>50</v>
      </c>
    </row>
    <row r="43" spans="1:7" ht="29.5" customHeight="1" x14ac:dyDescent="0.55000000000000004">
      <c r="A43" s="42"/>
      <c r="B43" s="29">
        <v>310414193300003</v>
      </c>
      <c r="C43" s="26">
        <f t="shared" si="1"/>
        <v>0</v>
      </c>
      <c r="D43" s="26">
        <f t="shared" si="2"/>
        <v>0</v>
      </c>
      <c r="E43" s="30"/>
      <c r="F43" s="31" t="s">
        <v>53</v>
      </c>
      <c r="G43" s="43" t="s">
        <v>32</v>
      </c>
    </row>
    <row r="44" spans="1:7" ht="29.5" customHeight="1" x14ac:dyDescent="0.55000000000000004">
      <c r="A44" s="42"/>
      <c r="B44" s="29">
        <v>300683377100003</v>
      </c>
      <c r="C44" s="26">
        <f t="shared" si="1"/>
        <v>0</v>
      </c>
      <c r="D44" s="26">
        <f t="shared" si="2"/>
        <v>0</v>
      </c>
      <c r="E44" s="30"/>
      <c r="F44" s="31" t="s">
        <v>46</v>
      </c>
      <c r="G44" s="43" t="s">
        <v>54</v>
      </c>
    </row>
    <row r="45" spans="1:7" ht="29.5" customHeight="1" x14ac:dyDescent="0.55000000000000004">
      <c r="A45" s="42"/>
      <c r="B45" s="29">
        <v>300605069300003</v>
      </c>
      <c r="C45" s="26">
        <f t="shared" si="1"/>
        <v>0</v>
      </c>
      <c r="D45" s="26">
        <f t="shared" si="2"/>
        <v>0</v>
      </c>
      <c r="E45" s="30"/>
      <c r="F45" s="31" t="s">
        <v>55</v>
      </c>
      <c r="G45" s="43" t="s">
        <v>54</v>
      </c>
    </row>
    <row r="46" spans="1:7" ht="29.5" customHeight="1" x14ac:dyDescent="0.55000000000000004">
      <c r="A46" s="42"/>
      <c r="B46" s="29">
        <v>300039593400003</v>
      </c>
      <c r="C46" s="26">
        <f t="shared" si="1"/>
        <v>0</v>
      </c>
      <c r="D46" s="26">
        <f t="shared" si="2"/>
        <v>0</v>
      </c>
      <c r="E46" s="30"/>
      <c r="F46" s="31" t="s">
        <v>56</v>
      </c>
      <c r="G46" s="43" t="s">
        <v>57</v>
      </c>
    </row>
    <row r="47" spans="1:7" ht="29.5" customHeight="1" x14ac:dyDescent="0.55000000000000004">
      <c r="A47" s="42"/>
      <c r="B47" s="29">
        <v>300553389700003</v>
      </c>
      <c r="C47" s="26">
        <f t="shared" si="1"/>
        <v>0</v>
      </c>
      <c r="D47" s="26">
        <f t="shared" si="2"/>
        <v>0</v>
      </c>
      <c r="E47" s="30"/>
      <c r="F47" s="31" t="s">
        <v>58</v>
      </c>
      <c r="G47" s="43" t="s">
        <v>59</v>
      </c>
    </row>
    <row r="48" spans="1:7" ht="29.5" customHeight="1" x14ac:dyDescent="0.55000000000000004">
      <c r="A48" s="42"/>
      <c r="B48" s="29">
        <v>310414193300003</v>
      </c>
      <c r="C48" s="26">
        <f t="shared" si="1"/>
        <v>0</v>
      </c>
      <c r="D48" s="26">
        <f t="shared" si="2"/>
        <v>0</v>
      </c>
      <c r="E48" s="30"/>
      <c r="F48" s="31" t="s">
        <v>53</v>
      </c>
      <c r="G48" s="43" t="s">
        <v>59</v>
      </c>
    </row>
    <row r="49" spans="1:7" ht="29.5" customHeight="1" x14ac:dyDescent="0.55000000000000004">
      <c r="A49" s="42"/>
      <c r="B49" s="29">
        <v>300188493310003</v>
      </c>
      <c r="C49" s="26">
        <f t="shared" si="1"/>
        <v>0</v>
      </c>
      <c r="D49" s="26">
        <f t="shared" si="2"/>
        <v>0</v>
      </c>
      <c r="E49" s="30"/>
      <c r="F49" s="31" t="s">
        <v>60</v>
      </c>
      <c r="G49" s="43" t="s">
        <v>59</v>
      </c>
    </row>
    <row r="50" spans="1:7" ht="29.5" customHeight="1" x14ac:dyDescent="0.55000000000000004">
      <c r="A50" s="42"/>
      <c r="B50" s="29">
        <v>301149689700003</v>
      </c>
      <c r="C50" s="26">
        <f t="shared" si="1"/>
        <v>0</v>
      </c>
      <c r="D50" s="26">
        <f t="shared" si="2"/>
        <v>0</v>
      </c>
      <c r="E50" s="30"/>
      <c r="F50" s="31" t="s">
        <v>61</v>
      </c>
      <c r="G50" s="43" t="s">
        <v>62</v>
      </c>
    </row>
    <row r="51" spans="1:7" ht="29.5" customHeight="1" x14ac:dyDescent="0.55000000000000004">
      <c r="A51" s="42"/>
      <c r="B51" s="29">
        <v>300053521800003</v>
      </c>
      <c r="C51" s="26">
        <f t="shared" si="1"/>
        <v>0</v>
      </c>
      <c r="D51" s="26">
        <f t="shared" si="2"/>
        <v>0</v>
      </c>
      <c r="E51" s="30"/>
      <c r="F51" s="31" t="s">
        <v>63</v>
      </c>
      <c r="G51" s="43" t="s">
        <v>64</v>
      </c>
    </row>
    <row r="52" spans="1:7" ht="29.5" x14ac:dyDescent="0.55000000000000004">
      <c r="A52" s="44"/>
      <c r="B52" s="45"/>
      <c r="C52" s="46">
        <f>SUM(C28:C51)</f>
        <v>0</v>
      </c>
      <c r="D52" s="47">
        <f>SUM(D28:D51)</f>
        <v>0</v>
      </c>
      <c r="E52" s="46">
        <f>SUM(E28:E51)</f>
        <v>0</v>
      </c>
      <c r="F52" s="48" t="s">
        <v>33</v>
      </c>
      <c r="G52" s="49"/>
    </row>
    <row r="54" spans="1:7" ht="22.5" x14ac:dyDescent="0.45">
      <c r="C54" s="50"/>
    </row>
    <row r="56" spans="1:7" x14ac:dyDescent="0.3">
      <c r="C56" s="51"/>
    </row>
    <row r="57" spans="1:7" ht="30.5" thickBot="1" x14ac:dyDescent="0.65">
      <c r="A57" s="52" t="s">
        <v>83</v>
      </c>
      <c r="B57" s="19" t="s">
        <v>9</v>
      </c>
      <c r="C57" s="19"/>
      <c r="D57" s="19"/>
      <c r="E57" s="19"/>
      <c r="F57" s="19"/>
      <c r="G57" s="20"/>
    </row>
    <row r="58" spans="1:7" ht="30.5" thickBot="1" x14ac:dyDescent="0.65">
      <c r="A58" s="53" t="s">
        <v>13</v>
      </c>
      <c r="B58" s="54" t="s">
        <v>14</v>
      </c>
      <c r="C58" s="40" t="s">
        <v>15</v>
      </c>
      <c r="D58" s="40" t="s">
        <v>16</v>
      </c>
      <c r="E58" s="40" t="s">
        <v>2</v>
      </c>
      <c r="F58" s="40" t="s">
        <v>17</v>
      </c>
      <c r="G58" s="41" t="s">
        <v>18</v>
      </c>
    </row>
    <row r="59" spans="1:7" ht="30.5" thickBot="1" x14ac:dyDescent="0.6">
      <c r="A59" s="55"/>
      <c r="B59" s="29"/>
      <c r="C59" s="26">
        <f t="shared" ref="C59:C73" si="3">E59+D59</f>
        <v>0</v>
      </c>
      <c r="D59" s="26">
        <v>0</v>
      </c>
      <c r="E59" s="30"/>
      <c r="F59" s="31" t="s">
        <v>65</v>
      </c>
      <c r="G59" s="43" t="s">
        <v>23</v>
      </c>
    </row>
    <row r="60" spans="1:7" ht="30.5" thickBot="1" x14ac:dyDescent="0.6">
      <c r="A60" s="55"/>
      <c r="B60" s="29"/>
      <c r="C60" s="26">
        <f t="shared" si="3"/>
        <v>0</v>
      </c>
      <c r="D60" s="26">
        <v>0</v>
      </c>
      <c r="E60" s="30"/>
      <c r="F60" s="31" t="s">
        <v>66</v>
      </c>
      <c r="G60" s="43" t="s">
        <v>21</v>
      </c>
    </row>
    <row r="61" spans="1:7" ht="30.5" thickBot="1" x14ac:dyDescent="0.6">
      <c r="A61" s="55"/>
      <c r="B61" s="29"/>
      <c r="C61" s="26">
        <f t="shared" si="3"/>
        <v>0</v>
      </c>
      <c r="D61" s="26">
        <v>0</v>
      </c>
      <c r="E61" s="30"/>
      <c r="F61" s="31" t="s">
        <v>67</v>
      </c>
      <c r="G61" s="43" t="s">
        <v>21</v>
      </c>
    </row>
    <row r="62" spans="1:7" ht="30.5" thickBot="1" x14ac:dyDescent="0.6">
      <c r="A62" s="55"/>
      <c r="B62" s="29"/>
      <c r="C62" s="26">
        <f t="shared" si="3"/>
        <v>0</v>
      </c>
      <c r="D62" s="26">
        <v>0</v>
      </c>
      <c r="E62" s="30"/>
      <c r="F62" s="31" t="s">
        <v>68</v>
      </c>
      <c r="G62" s="43" t="s">
        <v>21</v>
      </c>
    </row>
    <row r="63" spans="1:7" ht="30.5" thickBot="1" x14ac:dyDescent="0.6">
      <c r="A63" s="55"/>
      <c r="B63" s="29"/>
      <c r="C63" s="26">
        <f t="shared" si="3"/>
        <v>0</v>
      </c>
      <c r="D63" s="26">
        <v>0</v>
      </c>
      <c r="E63" s="30"/>
      <c r="F63" s="31" t="s">
        <v>69</v>
      </c>
      <c r="G63" s="43" t="s">
        <v>21</v>
      </c>
    </row>
    <row r="64" spans="1:7" ht="30.5" thickBot="1" x14ac:dyDescent="0.6">
      <c r="A64" s="55"/>
      <c r="B64" s="29"/>
      <c r="C64" s="26">
        <f t="shared" si="3"/>
        <v>0</v>
      </c>
      <c r="D64" s="26">
        <v>0</v>
      </c>
      <c r="E64" s="30"/>
      <c r="F64" s="31" t="s">
        <v>70</v>
      </c>
      <c r="G64" s="43" t="s">
        <v>21</v>
      </c>
    </row>
    <row r="65" spans="1:7" ht="30.5" thickBot="1" x14ac:dyDescent="0.6">
      <c r="A65" s="55"/>
      <c r="B65" s="29"/>
      <c r="C65" s="26">
        <f t="shared" si="3"/>
        <v>0</v>
      </c>
      <c r="D65" s="26">
        <v>0</v>
      </c>
      <c r="E65" s="30"/>
      <c r="F65" s="31" t="s">
        <v>71</v>
      </c>
      <c r="G65" s="43" t="s">
        <v>21</v>
      </c>
    </row>
    <row r="66" spans="1:7" ht="30.5" thickBot="1" x14ac:dyDescent="0.6">
      <c r="A66" s="55"/>
      <c r="B66" s="29"/>
      <c r="C66" s="26">
        <f t="shared" si="3"/>
        <v>0</v>
      </c>
      <c r="D66" s="26">
        <v>0</v>
      </c>
      <c r="E66" s="30"/>
      <c r="F66" s="31" t="s">
        <v>72</v>
      </c>
      <c r="G66" s="43" t="s">
        <v>44</v>
      </c>
    </row>
    <row r="67" spans="1:7" ht="30.5" thickBot="1" x14ac:dyDescent="0.6">
      <c r="A67" s="55"/>
      <c r="B67" s="29"/>
      <c r="C67" s="26">
        <f t="shared" si="3"/>
        <v>0</v>
      </c>
      <c r="D67" s="26">
        <v>0</v>
      </c>
      <c r="E67" s="30"/>
      <c r="F67" s="31" t="s">
        <v>73</v>
      </c>
      <c r="G67" s="43" t="s">
        <v>44</v>
      </c>
    </row>
    <row r="68" spans="1:7" ht="30.5" thickBot="1" x14ac:dyDescent="0.6">
      <c r="A68" s="55"/>
      <c r="B68" s="29"/>
      <c r="C68" s="26">
        <f t="shared" si="3"/>
        <v>0</v>
      </c>
      <c r="D68" s="26">
        <v>0</v>
      </c>
      <c r="E68" s="30"/>
      <c r="F68" s="31" t="s">
        <v>74</v>
      </c>
      <c r="G68" s="43" t="s">
        <v>44</v>
      </c>
    </row>
    <row r="69" spans="1:7" ht="30.5" thickBot="1" x14ac:dyDescent="0.6">
      <c r="A69" s="55"/>
      <c r="B69" s="29"/>
      <c r="C69" s="26">
        <f t="shared" si="3"/>
        <v>0</v>
      </c>
      <c r="D69" s="26">
        <v>0</v>
      </c>
      <c r="E69" s="30"/>
      <c r="F69" s="31" t="s">
        <v>75</v>
      </c>
      <c r="G69" s="43" t="s">
        <v>42</v>
      </c>
    </row>
    <row r="70" spans="1:7" ht="30.5" thickBot="1" x14ac:dyDescent="0.6">
      <c r="A70" s="55"/>
      <c r="B70" s="29"/>
      <c r="C70" s="26">
        <f t="shared" si="3"/>
        <v>0</v>
      </c>
      <c r="D70" s="26">
        <v>0</v>
      </c>
      <c r="E70" s="30"/>
      <c r="F70" s="31" t="s">
        <v>76</v>
      </c>
      <c r="G70" s="43" t="s">
        <v>54</v>
      </c>
    </row>
    <row r="71" spans="1:7" ht="30.5" thickBot="1" x14ac:dyDescent="0.6">
      <c r="A71" s="55"/>
      <c r="B71" s="29"/>
      <c r="C71" s="26">
        <f t="shared" si="3"/>
        <v>0</v>
      </c>
      <c r="D71" s="26">
        <v>0</v>
      </c>
      <c r="E71" s="30"/>
      <c r="F71" s="31" t="s">
        <v>77</v>
      </c>
      <c r="G71" s="43" t="s">
        <v>78</v>
      </c>
    </row>
    <row r="72" spans="1:7" ht="30.5" thickBot="1" x14ac:dyDescent="0.6">
      <c r="A72" s="55"/>
      <c r="B72" s="29"/>
      <c r="C72" s="26">
        <f t="shared" si="3"/>
        <v>0</v>
      </c>
      <c r="D72" s="26">
        <v>0</v>
      </c>
      <c r="E72" s="30"/>
      <c r="F72" s="31" t="s">
        <v>79</v>
      </c>
      <c r="G72" s="43" t="s">
        <v>59</v>
      </c>
    </row>
    <row r="73" spans="1:7" ht="30.5" thickBot="1" x14ac:dyDescent="0.6">
      <c r="A73" s="55"/>
      <c r="B73" s="29"/>
      <c r="C73" s="26">
        <f t="shared" si="3"/>
        <v>0</v>
      </c>
      <c r="D73" s="26">
        <v>0</v>
      </c>
      <c r="E73" s="30"/>
      <c r="F73" s="31" t="s">
        <v>80</v>
      </c>
      <c r="G73" s="43" t="s">
        <v>59</v>
      </c>
    </row>
    <row r="74" spans="1:7" ht="29.5" x14ac:dyDescent="0.55000000000000004">
      <c r="A74" s="44"/>
      <c r="B74" s="45">
        <v>0</v>
      </c>
      <c r="C74" s="46">
        <f>SUM(C59:C73)</f>
        <v>0</v>
      </c>
      <c r="D74" s="47">
        <f>SUM(D59:D73)</f>
        <v>0</v>
      </c>
      <c r="E74" s="46">
        <f>SUM(E59:E73)</f>
        <v>0</v>
      </c>
      <c r="F74" s="48" t="s">
        <v>33</v>
      </c>
      <c r="G74" s="49"/>
    </row>
    <row r="129" spans="6:7" x14ac:dyDescent="0.3">
      <c r="F129" t="s">
        <v>84</v>
      </c>
      <c r="G129" t="s">
        <v>85</v>
      </c>
    </row>
  </sheetData>
  <mergeCells count="8">
    <mergeCell ref="A57:G57"/>
    <mergeCell ref="F74:G74"/>
    <mergeCell ref="B5:F5"/>
    <mergeCell ref="A6:G6"/>
    <mergeCell ref="F15:G15"/>
    <mergeCell ref="B25:F25"/>
    <mergeCell ref="A26:G26"/>
    <mergeCell ref="F52:G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 بكلينات 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asdah</dc:creator>
  <cp:lastModifiedBy>mohammed asdah</cp:lastModifiedBy>
  <dcterms:created xsi:type="dcterms:W3CDTF">2021-01-10T13:21:58Z</dcterms:created>
  <dcterms:modified xsi:type="dcterms:W3CDTF">2021-01-10T14:26:08Z</dcterms:modified>
</cp:coreProperties>
</file>