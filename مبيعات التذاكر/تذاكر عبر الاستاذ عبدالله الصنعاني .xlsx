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d8ec6882c2e570/المستندات/مبيعات التذاكر/"/>
    </mc:Choice>
  </mc:AlternateContent>
  <xr:revisionPtr revIDLastSave="1855" documentId="8_{80869A4E-9443-49B5-B6F7-326342C2E8F6}" xr6:coauthVersionLast="47" xr6:coauthVersionMax="47" xr10:uidLastSave="{436387BE-8488-4C17-BDB2-F8497FC74308}"/>
  <bookViews>
    <workbookView xWindow="-110" yWindow="-110" windowWidth="19420" windowHeight="10420" activeTab="3" xr2:uid="{C6FE7BA9-7CCA-43EB-987B-CF19E6393688}"/>
  </bookViews>
  <sheets>
    <sheet name="سبتمبر" sheetId="1" r:id="rId1"/>
    <sheet name="اكتوبر " sheetId="2" r:id="rId2"/>
    <sheet name="نوفمبر " sheetId="3" r:id="rId3"/>
    <sheet name="ديسمبر 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7" i="4" l="1"/>
  <c r="D57" i="4"/>
  <c r="E57" i="4"/>
  <c r="F2" i="4"/>
  <c r="F3" i="4" s="1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E58" i="3"/>
  <c r="D58" i="3"/>
  <c r="F55" i="3"/>
  <c r="F56" i="3" s="1"/>
  <c r="F57" i="3" s="1"/>
  <c r="F50" i="3"/>
  <c r="F51" i="3" s="1"/>
  <c r="F52" i="3" s="1"/>
  <c r="F53" i="3" s="1"/>
  <c r="F54" i="3" s="1"/>
  <c r="F2" i="3"/>
  <c r="F3" i="3" s="1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78" i="3" s="1"/>
  <c r="F79" i="3" s="1"/>
  <c r="D64" i="2"/>
  <c r="F64" i="2" s="1"/>
  <c r="E64" i="2"/>
  <c r="F2" i="2"/>
  <c r="F3" i="2" s="1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E70" i="1"/>
  <c r="D70" i="1"/>
  <c r="F2" i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77" i="4" l="1"/>
  <c r="F78" i="4" s="1"/>
  <c r="F40" i="4"/>
  <c r="F41" i="4" s="1"/>
  <c r="F42" i="4" s="1"/>
  <c r="F43" i="4" s="1"/>
  <c r="F44" i="4" s="1"/>
  <c r="F45" i="4" s="1"/>
  <c r="F40" i="3"/>
  <c r="F41" i="3" s="1"/>
  <c r="F42" i="3" s="1"/>
  <c r="F43" i="3" s="1"/>
  <c r="F44" i="3" s="1"/>
  <c r="F45" i="3" s="1"/>
  <c r="F46" i="3" s="1"/>
  <c r="F47" i="3" s="1"/>
  <c r="F48" i="3" s="1"/>
  <c r="F49" i="3" s="1"/>
  <c r="F21" i="1"/>
  <c r="F70" i="1"/>
  <c r="F46" i="4" l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22" i="1"/>
  <c r="F23" i="1" s="1"/>
  <c r="F24" i="1" s="1"/>
  <c r="F25" i="1" s="1"/>
  <c r="F26" i="1" s="1"/>
  <c r="F27" i="1" s="1"/>
  <c r="F28" i="1" s="1"/>
  <c r="F29" i="1" s="1"/>
  <c r="F30" i="1" s="1"/>
  <c r="F31" i="1" l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l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</calcChain>
</file>

<file path=xl/sharedStrings.xml><?xml version="1.0" encoding="utf-8"?>
<sst xmlns="http://schemas.openxmlformats.org/spreadsheetml/2006/main" count="531" uniqueCount="255">
  <si>
    <t xml:space="preserve">التاريخ </t>
  </si>
  <si>
    <t xml:space="preserve">رقم الحجز </t>
  </si>
  <si>
    <t xml:space="preserve">رقم التذكره </t>
  </si>
  <si>
    <t xml:space="preserve">مبلغ التذكره </t>
  </si>
  <si>
    <t xml:space="preserve">المبلغ المورد </t>
  </si>
  <si>
    <t xml:space="preserve">الرصيد </t>
  </si>
  <si>
    <t xml:space="preserve">ملاحظه </t>
  </si>
  <si>
    <t>35MCUL</t>
  </si>
  <si>
    <t>19l08l2023</t>
  </si>
  <si>
    <t>35NGH6</t>
  </si>
  <si>
    <t>35NJ8Z</t>
  </si>
  <si>
    <t>20/08/2023</t>
  </si>
  <si>
    <t xml:space="preserve">REFUND </t>
  </si>
  <si>
    <t>21/08/2023</t>
  </si>
  <si>
    <t>35NN4K</t>
  </si>
  <si>
    <t>35NQFF</t>
  </si>
  <si>
    <t xml:space="preserve">التوريد في ترتيب </t>
  </si>
  <si>
    <t>22/08/2023</t>
  </si>
  <si>
    <t>35NTHH</t>
  </si>
  <si>
    <t>35NUZA</t>
  </si>
  <si>
    <t>23/08/2023</t>
  </si>
  <si>
    <t>35NN4E</t>
  </si>
  <si>
    <t>تحويل حسابي لراجحي</t>
  </si>
  <si>
    <t>25/08/2023</t>
  </si>
  <si>
    <t>تغريد</t>
  </si>
  <si>
    <t>27/08/2023</t>
  </si>
  <si>
    <t>35ZCMR</t>
  </si>
  <si>
    <t>28/08/2023</t>
  </si>
  <si>
    <t>35ZDAF</t>
  </si>
  <si>
    <t>حوالة من حسابي الفرنسي</t>
  </si>
  <si>
    <t>31/08/2023</t>
  </si>
  <si>
    <t>35ZLIZ</t>
  </si>
  <si>
    <t>35ZZEH</t>
  </si>
  <si>
    <t>35ZZ4E</t>
  </si>
  <si>
    <t>REFUND</t>
  </si>
  <si>
    <t>سداد فارق التذاكر المعاده</t>
  </si>
  <si>
    <t>PAYMENT</t>
  </si>
  <si>
    <t>35PLP3</t>
  </si>
  <si>
    <t>35PTHQ</t>
  </si>
  <si>
    <t>35PUDQ</t>
  </si>
  <si>
    <t>35PUJR</t>
  </si>
  <si>
    <t>35Q6C0</t>
  </si>
  <si>
    <t>35Q6H4</t>
  </si>
  <si>
    <t>35QCRZ</t>
  </si>
  <si>
    <t>14/9/2023</t>
  </si>
  <si>
    <t>15/09/2023</t>
  </si>
  <si>
    <t>35QHR1</t>
  </si>
  <si>
    <t>16/09/2023</t>
  </si>
  <si>
    <t>35QLJT</t>
  </si>
  <si>
    <t>35QHUL</t>
  </si>
  <si>
    <t>17/09/2023</t>
  </si>
  <si>
    <t>35QMJQ</t>
  </si>
  <si>
    <t>35QN48</t>
  </si>
  <si>
    <t>35QMRA</t>
  </si>
  <si>
    <t>35QNDH</t>
  </si>
  <si>
    <t>19/09/2023</t>
  </si>
  <si>
    <t>35QQ9J</t>
  </si>
  <si>
    <t>20/09/2023</t>
  </si>
  <si>
    <t>22/09/2023</t>
  </si>
  <si>
    <t>35R65Q</t>
  </si>
  <si>
    <t>24/09/2023</t>
  </si>
  <si>
    <t>35RA7L</t>
  </si>
  <si>
    <t>25/09/2023</t>
  </si>
  <si>
    <t>35RAH5</t>
  </si>
  <si>
    <t>35RB6E</t>
  </si>
  <si>
    <t>26/09/2023</t>
  </si>
  <si>
    <t>35RDGD</t>
  </si>
  <si>
    <t>35RDSM</t>
  </si>
  <si>
    <t>35RDNF</t>
  </si>
  <si>
    <t>27/09/2023</t>
  </si>
  <si>
    <t>35RF3F</t>
  </si>
  <si>
    <t>35RF3L</t>
  </si>
  <si>
    <t>28/09/2023</t>
  </si>
  <si>
    <t>35RFGD</t>
  </si>
  <si>
    <t>35RFHR</t>
  </si>
  <si>
    <t>30/09/2023</t>
  </si>
  <si>
    <t>35RN1R</t>
  </si>
  <si>
    <t>35RRL9</t>
  </si>
  <si>
    <t>35S28A</t>
  </si>
  <si>
    <t>35S2DY</t>
  </si>
  <si>
    <t>35S2DS</t>
  </si>
  <si>
    <t>35S2H9</t>
  </si>
  <si>
    <t>35S2Y6</t>
  </si>
  <si>
    <t>35S5U5</t>
  </si>
  <si>
    <t>35S5QM</t>
  </si>
  <si>
    <t xml:space="preserve">السفاره الكورية </t>
  </si>
  <si>
    <t>35SCLG</t>
  </si>
  <si>
    <t>35SCLB</t>
  </si>
  <si>
    <t>35SCM9</t>
  </si>
  <si>
    <t>13/10/2023</t>
  </si>
  <si>
    <t>35SDKS</t>
  </si>
  <si>
    <t xml:space="preserve">أبو ناصر سامي </t>
  </si>
  <si>
    <t xml:space="preserve">حمزه الظاهري </t>
  </si>
  <si>
    <t>متبقي 344</t>
  </si>
  <si>
    <t xml:space="preserve">1000 محول الي جلال مسعود </t>
  </si>
  <si>
    <t>14/10/2023</t>
  </si>
  <si>
    <t>15/10/2023</t>
  </si>
  <si>
    <t>35SHTQ</t>
  </si>
  <si>
    <t>16/10/2023</t>
  </si>
  <si>
    <t>35SYAG</t>
  </si>
  <si>
    <t>35SL0H</t>
  </si>
  <si>
    <t>35SKUP</t>
  </si>
  <si>
    <t xml:space="preserve">تم التحويل الي حسابي عبدالعزيز العواضي  </t>
  </si>
  <si>
    <t>18/10/2023</t>
  </si>
  <si>
    <t>35SPKT</t>
  </si>
  <si>
    <t>35SPM8</t>
  </si>
  <si>
    <t xml:space="preserve">السفارة الكوريه </t>
  </si>
  <si>
    <t>35QJH</t>
  </si>
  <si>
    <t>35QSB</t>
  </si>
  <si>
    <t>19/10/2023</t>
  </si>
  <si>
    <t>35STE8</t>
  </si>
  <si>
    <t xml:space="preserve">VOID </t>
  </si>
  <si>
    <t>21/10/2023</t>
  </si>
  <si>
    <t>35ZL1Z</t>
  </si>
  <si>
    <t>35T02M</t>
  </si>
  <si>
    <t>23/10/2023</t>
  </si>
  <si>
    <t>35T1UC</t>
  </si>
  <si>
    <t>35T1Z5</t>
  </si>
  <si>
    <t>35T1Z6</t>
  </si>
  <si>
    <t>35T1NH</t>
  </si>
  <si>
    <t>24/10/2023</t>
  </si>
  <si>
    <t>35T3RK</t>
  </si>
  <si>
    <t>24/10/2024</t>
  </si>
  <si>
    <t>35T4ZZ</t>
  </si>
  <si>
    <t>26/10/2023</t>
  </si>
  <si>
    <t>35T6SQ</t>
  </si>
  <si>
    <t>بدر باسلامه</t>
  </si>
  <si>
    <t>35T75K</t>
  </si>
  <si>
    <t>35T761</t>
  </si>
  <si>
    <t>35T76Z</t>
  </si>
  <si>
    <t>35T7L1</t>
  </si>
  <si>
    <t>35T7M6</t>
  </si>
  <si>
    <t>27/10/2024</t>
  </si>
  <si>
    <t>35T87U</t>
  </si>
  <si>
    <t>أبو ناصر سامي 4845</t>
  </si>
  <si>
    <t>أبو ناصر سامي 3312</t>
  </si>
  <si>
    <t>أبو ناصر سامي 3260</t>
  </si>
  <si>
    <t>محول جلال 6565</t>
  </si>
  <si>
    <t>28/10/2023</t>
  </si>
  <si>
    <t>29/10/2023</t>
  </si>
  <si>
    <t>35SQSB</t>
  </si>
  <si>
    <t>MGZKVA</t>
  </si>
  <si>
    <t xml:space="preserve">تم تحويل المبلغ 1726 ريال 2 أكتوبر 2023 </t>
  </si>
  <si>
    <t xml:space="preserve">الإجمالي </t>
  </si>
  <si>
    <t>الرصيد</t>
  </si>
  <si>
    <t>35TFJQ</t>
  </si>
  <si>
    <t>35TFYD</t>
  </si>
  <si>
    <t>35TFQJ</t>
  </si>
  <si>
    <t xml:space="preserve">تذاكر معادة </t>
  </si>
  <si>
    <t xml:space="preserve">تذاكر معاده </t>
  </si>
  <si>
    <t>أبو ناصر سامي4110</t>
  </si>
  <si>
    <t>أبو ناصر سامي3342</t>
  </si>
  <si>
    <t>35THK2</t>
  </si>
  <si>
    <t>35TJ4N</t>
  </si>
  <si>
    <t xml:space="preserve">أبو خالد </t>
  </si>
  <si>
    <t xml:space="preserve">تعديل تذكرة بدر باسلامه </t>
  </si>
  <si>
    <t xml:space="preserve">مسدد بتاريخ 5 نوفمبر </t>
  </si>
  <si>
    <t>35TMQY</t>
  </si>
  <si>
    <t xml:space="preserve">تذكره ملغيه </t>
  </si>
  <si>
    <t>35TNMD</t>
  </si>
  <si>
    <t>35TNNG</t>
  </si>
  <si>
    <t>FLY ADEL</t>
  </si>
  <si>
    <t xml:space="preserve">مسدد ظمن مبلغ 500ريال  </t>
  </si>
  <si>
    <t>35U605</t>
  </si>
  <si>
    <t>35U606</t>
  </si>
  <si>
    <t>35U9FU</t>
  </si>
  <si>
    <t>15/11/2023</t>
  </si>
  <si>
    <t>35UHFK</t>
  </si>
  <si>
    <t>16/11/2023</t>
  </si>
  <si>
    <t>35UH12</t>
  </si>
  <si>
    <t>35UY8M</t>
  </si>
  <si>
    <t>17/11/2023</t>
  </si>
  <si>
    <t>17/11/2031</t>
  </si>
  <si>
    <t>35UJ1F</t>
  </si>
  <si>
    <t xml:space="preserve">أبو خالد  مسدد </t>
  </si>
  <si>
    <t>أبو خالد مسدد</t>
  </si>
  <si>
    <t>35UYF7</t>
  </si>
  <si>
    <t>35UK0R</t>
  </si>
  <si>
    <t xml:space="preserve">محمد بن دغر </t>
  </si>
  <si>
    <t>أبو ناصر 4500</t>
  </si>
  <si>
    <t>35UJR9</t>
  </si>
  <si>
    <t xml:space="preserve">مسدد بتاريخ 19 نوفمبر </t>
  </si>
  <si>
    <t>21/11/2023</t>
  </si>
  <si>
    <t>35UPND</t>
  </si>
  <si>
    <t xml:space="preserve">مسدد بتاريخ 25 نوفمبر </t>
  </si>
  <si>
    <t>23/11/2023</t>
  </si>
  <si>
    <t>35UU10</t>
  </si>
  <si>
    <t>24/11/2023</t>
  </si>
  <si>
    <t>3600DP</t>
  </si>
  <si>
    <t>25/11/2023</t>
  </si>
  <si>
    <t>أبو ناصر 3427</t>
  </si>
  <si>
    <t>26/11/2023</t>
  </si>
  <si>
    <t>28/11/2023</t>
  </si>
  <si>
    <t>3609SN</t>
  </si>
  <si>
    <t>360BJK</t>
  </si>
  <si>
    <t xml:space="preserve">مسدد يوم 30 نوفمبر </t>
  </si>
  <si>
    <t>3606CU</t>
  </si>
  <si>
    <t xml:space="preserve">مسدد يوم 29 نوفمبر </t>
  </si>
  <si>
    <t>360F21</t>
  </si>
  <si>
    <t>30/11/2023</t>
  </si>
  <si>
    <t>360HCA</t>
  </si>
  <si>
    <t xml:space="preserve">مسدد بتاريخ 1 ديسمبر </t>
  </si>
  <si>
    <t xml:space="preserve">الإجمالي  المبلغ الذي عندي </t>
  </si>
  <si>
    <t>360Y59</t>
  </si>
  <si>
    <t>أبو ناصر سامي</t>
  </si>
  <si>
    <t>360JG7</t>
  </si>
  <si>
    <t>360LNY</t>
  </si>
  <si>
    <t>360ZYZ</t>
  </si>
  <si>
    <t>360Q7K</t>
  </si>
  <si>
    <t>360R2C</t>
  </si>
  <si>
    <t>PAY 06/12/2023</t>
  </si>
  <si>
    <t>360ZJA</t>
  </si>
  <si>
    <t>360R8L</t>
  </si>
  <si>
    <t>360SFN</t>
  </si>
  <si>
    <t>360SGR</t>
  </si>
  <si>
    <t>360SHQ</t>
  </si>
  <si>
    <t>3610AK</t>
  </si>
  <si>
    <t>3610KZ</t>
  </si>
  <si>
    <t>36110G</t>
  </si>
  <si>
    <t>3614FF</t>
  </si>
  <si>
    <t>3615G3</t>
  </si>
  <si>
    <t xml:space="preserve">تذكره معاده </t>
  </si>
  <si>
    <t>3619EA</t>
  </si>
  <si>
    <t>361A2S</t>
  </si>
  <si>
    <t>13/12/2023</t>
  </si>
  <si>
    <t>361CQF</t>
  </si>
  <si>
    <t>ملاحظه</t>
  </si>
  <si>
    <t>16/12/2023</t>
  </si>
  <si>
    <t>361GDJ</t>
  </si>
  <si>
    <t>361GMK</t>
  </si>
  <si>
    <t>361GN8</t>
  </si>
  <si>
    <t xml:space="preserve">19ديسمبر الراجحي </t>
  </si>
  <si>
    <t>18/12/2023</t>
  </si>
  <si>
    <t xml:space="preserve">مسدد يوم 25 نوفمبر زكي </t>
  </si>
  <si>
    <t>361JQZ</t>
  </si>
  <si>
    <t>361JRL</t>
  </si>
  <si>
    <t xml:space="preserve">تاريخ 10ديسمبر </t>
  </si>
  <si>
    <t>20/12/2023</t>
  </si>
  <si>
    <t>361ND1</t>
  </si>
  <si>
    <t>361NTN</t>
  </si>
  <si>
    <t>21/12/2023</t>
  </si>
  <si>
    <t xml:space="preserve">مسدد بتاريخ 24 ديسمبر </t>
  </si>
  <si>
    <t xml:space="preserve">تخص الموسسة </t>
  </si>
  <si>
    <t>23/12/2023</t>
  </si>
  <si>
    <t xml:space="preserve">أبو ناصر </t>
  </si>
  <si>
    <t>361TRB</t>
  </si>
  <si>
    <t>361TRG</t>
  </si>
  <si>
    <t>26/12/2023</t>
  </si>
  <si>
    <t>3625YM</t>
  </si>
  <si>
    <t>27/12/2023</t>
  </si>
  <si>
    <t>28/12/2023</t>
  </si>
  <si>
    <t xml:space="preserve">مسترجع </t>
  </si>
  <si>
    <t>29/12/2023</t>
  </si>
  <si>
    <t xml:space="preserve">36110GREFAUND </t>
  </si>
  <si>
    <t>362B70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</si>
</sst>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4"/>
      <color rgb="FFFF0000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8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12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43" fontId="3" fillId="0" borderId="1" xfId="1" applyFont="1" applyBorder="1" applyAlignment="1">
      <alignment horizontal="center"/>
    </xf>
    <xf numFmtId="43" fontId="3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2" fillId="0" borderId="0" xfId="0" applyFont="1"/>
    <xf numFmtId="43" fontId="4" fillId="0" borderId="1" xfId="1" applyFont="1" applyBorder="1" applyAlignment="1">
      <alignment horizontal="center"/>
    </xf>
    <xf numFmtId="0" fontId="5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43" fontId="3" fillId="0" borderId="0" xfId="0" applyNumberFormat="1" applyFont="1" applyAlignment="1">
      <alignment horizontal="center"/>
    </xf>
    <xf numFmtId="43" fontId="3" fillId="2" borderId="1" xfId="1" applyFont="1" applyFill="1" applyBorder="1" applyAlignment="1">
      <alignment horizontal="center"/>
    </xf>
    <xf numFmtId="0" fontId="5" fillId="2" borderId="0" xfId="0" applyFont="1" applyFill="1"/>
    <xf numFmtId="0" fontId="7" fillId="2" borderId="0" xfId="0" applyFont="1" applyFill="1"/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4" fillId="0" borderId="1" xfId="0" applyNumberFormat="1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0" borderId="3" xfId="0" applyNumberFormat="1" applyFont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43" fontId="3" fillId="0" borderId="2" xfId="1" applyFont="1" applyFill="1" applyBorder="1" applyAlignment="1">
      <alignment horizontal="center"/>
    </xf>
    <xf numFmtId="0" fontId="10" fillId="0" borderId="0" xfId="0" applyFont="1"/>
    <xf numFmtId="0" fontId="5" fillId="0" borderId="0" xfId="0" applyFont="1" applyAlignment="1">
      <alignment horizontal="right"/>
    </xf>
    <xf numFmtId="43" fontId="3" fillId="2" borderId="1" xfId="0" applyNumberFormat="1" applyFont="1" applyFill="1" applyBorder="1" applyAlignment="1">
      <alignment horizontal="center"/>
    </xf>
    <xf numFmtId="43" fontId="3" fillId="0" borderId="2" xfId="0" applyNumberFormat="1" applyFont="1" applyBorder="1" applyAlignment="1">
      <alignment horizontal="center"/>
    </xf>
    <xf numFmtId="0" fontId="4" fillId="0" borderId="0" xfId="0" applyFont="1"/>
    <xf numFmtId="0" fontId="9" fillId="2" borderId="4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4" fontId="3" fillId="2" borderId="7" xfId="0" applyNumberFormat="1" applyFont="1" applyFill="1" applyBorder="1" applyAlignment="1">
      <alignment horizontal="center"/>
    </xf>
    <xf numFmtId="14" fontId="3" fillId="2" borderId="8" xfId="0" applyNumberFormat="1" applyFont="1" applyFill="1" applyBorder="1" applyAlignment="1">
      <alignment horizontal="center"/>
    </xf>
    <xf numFmtId="14" fontId="3" fillId="2" borderId="9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wrapText="1"/>
    </xf>
  </cellXfs>
  <cellStyles count="2">
    <cellStyle name="Comma" xfId="1" builtinId="3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8A387-E19C-4055-BFD4-65221785FF19}">
  <dimension ref="A1:H98"/>
  <sheetViews>
    <sheetView rightToLeft="1" topLeftCell="A59" workbookViewId="0">
      <selection activeCell="F71" sqref="A71:F71"/>
    </sheetView>
  </sheetViews>
  <sheetFormatPr defaultRowHeight="14" x14ac:dyDescent="0.3"/>
  <cols>
    <col min="1" max="2" width="13.1640625" customWidth="1"/>
    <col min="3" max="3" width="21.83203125" bestFit="1" customWidth="1"/>
    <col min="4" max="5" width="13.1640625" customWidth="1"/>
    <col min="6" max="6" width="13.9140625" bestFit="1" customWidth="1"/>
    <col min="7" max="7" width="13.1640625" customWidth="1"/>
    <col min="8" max="8" width="16.08203125" bestFit="1" customWidth="1"/>
  </cols>
  <sheetData>
    <row r="1" spans="1:8" ht="18" x14ac:dyDescent="0.4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/>
      <c r="H1" s="3" t="s">
        <v>6</v>
      </c>
    </row>
    <row r="2" spans="1:8" ht="18" x14ac:dyDescent="0.4">
      <c r="A2" s="4">
        <v>45268</v>
      </c>
      <c r="B2" s="1" t="s">
        <v>7</v>
      </c>
      <c r="C2" s="5">
        <v>6352410784809</v>
      </c>
      <c r="D2" s="6">
        <v>1276</v>
      </c>
      <c r="E2" s="6">
        <v>1800</v>
      </c>
      <c r="F2" s="7">
        <f>D2-E2</f>
        <v>-524</v>
      </c>
      <c r="G2" s="14"/>
    </row>
    <row r="3" spans="1:8" ht="18" x14ac:dyDescent="0.4">
      <c r="A3" s="4">
        <v>45268</v>
      </c>
      <c r="B3" s="1" t="s">
        <v>7</v>
      </c>
      <c r="C3" s="5">
        <v>6352410784821</v>
      </c>
      <c r="D3" s="6">
        <v>1462</v>
      </c>
      <c r="E3" s="6">
        <v>1350</v>
      </c>
      <c r="F3" s="7">
        <f>F2+D3-E3</f>
        <v>-412</v>
      </c>
      <c r="G3" s="14"/>
    </row>
    <row r="4" spans="1:8" ht="18" x14ac:dyDescent="0.4">
      <c r="A4" s="1" t="s">
        <v>8</v>
      </c>
      <c r="B4" s="1" t="s">
        <v>9</v>
      </c>
      <c r="C4" s="5">
        <v>6352410804024</v>
      </c>
      <c r="D4" s="6">
        <v>2763</v>
      </c>
      <c r="E4" s="6">
        <v>2400</v>
      </c>
      <c r="F4" s="7">
        <f t="shared" ref="F4:F69" si="0">F3+D4-E4</f>
        <v>-49</v>
      </c>
      <c r="G4" s="14"/>
    </row>
    <row r="5" spans="1:8" ht="18" x14ac:dyDescent="0.4">
      <c r="A5" s="1" t="s">
        <v>8</v>
      </c>
      <c r="B5" s="1" t="s">
        <v>10</v>
      </c>
      <c r="C5" s="5">
        <v>6352410805340</v>
      </c>
      <c r="D5" s="6">
        <v>1462</v>
      </c>
      <c r="E5" s="6">
        <v>1562</v>
      </c>
      <c r="F5" s="7">
        <f t="shared" si="0"/>
        <v>-149</v>
      </c>
      <c r="G5" s="14"/>
    </row>
    <row r="6" spans="1:8" ht="18" x14ac:dyDescent="0.4">
      <c r="A6" s="1" t="s">
        <v>11</v>
      </c>
      <c r="B6" s="1" t="s">
        <v>10</v>
      </c>
      <c r="C6" s="8">
        <v>6352410805340</v>
      </c>
      <c r="D6" s="6">
        <v>0</v>
      </c>
      <c r="E6" s="10">
        <v>809</v>
      </c>
      <c r="F6" s="7">
        <f t="shared" si="0"/>
        <v>-958</v>
      </c>
      <c r="G6" s="14"/>
      <c r="H6" s="9" t="s">
        <v>12</v>
      </c>
    </row>
    <row r="7" spans="1:8" ht="18" x14ac:dyDescent="0.4">
      <c r="A7" s="1" t="s">
        <v>13</v>
      </c>
      <c r="B7" s="1" t="s">
        <v>14</v>
      </c>
      <c r="C7" s="5">
        <v>6352410809199</v>
      </c>
      <c r="D7" s="6">
        <v>900</v>
      </c>
      <c r="E7" s="6">
        <v>950</v>
      </c>
      <c r="F7" s="7">
        <f t="shared" si="0"/>
        <v>-1008</v>
      </c>
      <c r="G7" s="14"/>
    </row>
    <row r="8" spans="1:8" ht="18" x14ac:dyDescent="0.4">
      <c r="A8" s="1" t="s">
        <v>13</v>
      </c>
      <c r="B8" s="1" t="s">
        <v>14</v>
      </c>
      <c r="C8" s="5">
        <v>6352410809200</v>
      </c>
      <c r="D8" s="6">
        <v>900</v>
      </c>
      <c r="E8" s="6">
        <v>950</v>
      </c>
      <c r="F8" s="7">
        <f t="shared" si="0"/>
        <v>-1058</v>
      </c>
      <c r="G8" s="14"/>
    </row>
    <row r="9" spans="1:8" ht="18" x14ac:dyDescent="0.4">
      <c r="A9" s="1" t="s">
        <v>13</v>
      </c>
      <c r="B9" s="1" t="s">
        <v>15</v>
      </c>
      <c r="C9" s="5">
        <v>6352410810113</v>
      </c>
      <c r="D9" s="6">
        <v>1574</v>
      </c>
      <c r="E9" s="6">
        <v>0</v>
      </c>
      <c r="F9" s="7">
        <f t="shared" si="0"/>
        <v>516</v>
      </c>
      <c r="G9" s="14"/>
      <c r="H9" s="11" t="s">
        <v>16</v>
      </c>
    </row>
    <row r="10" spans="1:8" ht="18" x14ac:dyDescent="0.4">
      <c r="A10" s="1" t="s">
        <v>17</v>
      </c>
      <c r="B10" s="1" t="s">
        <v>18</v>
      </c>
      <c r="C10" s="5">
        <v>6352410812448</v>
      </c>
      <c r="D10" s="6">
        <v>1276</v>
      </c>
      <c r="E10" s="6">
        <v>1376</v>
      </c>
      <c r="F10" s="7">
        <f t="shared" si="0"/>
        <v>416</v>
      </c>
      <c r="G10" s="14"/>
    </row>
    <row r="11" spans="1:8" ht="18" x14ac:dyDescent="0.4">
      <c r="A11" s="1" t="s">
        <v>17</v>
      </c>
      <c r="B11" s="1" t="s">
        <v>18</v>
      </c>
      <c r="C11" s="5">
        <v>6352410812449</v>
      </c>
      <c r="D11" s="6">
        <v>1276</v>
      </c>
      <c r="E11" s="6">
        <v>1376</v>
      </c>
      <c r="F11" s="7">
        <f t="shared" si="0"/>
        <v>316</v>
      </c>
      <c r="G11" s="14"/>
    </row>
    <row r="12" spans="1:8" ht="18" x14ac:dyDescent="0.4">
      <c r="A12" s="1" t="s">
        <v>17</v>
      </c>
      <c r="B12" s="1" t="s">
        <v>19</v>
      </c>
      <c r="C12" s="5">
        <v>6352410813504</v>
      </c>
      <c r="D12" s="6">
        <v>1000</v>
      </c>
      <c r="E12" s="6">
        <v>1100</v>
      </c>
      <c r="F12" s="7">
        <f t="shared" si="0"/>
        <v>216</v>
      </c>
      <c r="G12" s="14"/>
    </row>
    <row r="13" spans="1:8" ht="18" x14ac:dyDescent="0.4">
      <c r="A13" s="1" t="s">
        <v>20</v>
      </c>
      <c r="B13" s="1" t="s">
        <v>21</v>
      </c>
      <c r="C13" s="5">
        <v>6352410816487</v>
      </c>
      <c r="D13" s="6">
        <v>83</v>
      </c>
      <c r="E13" s="6">
        <v>0</v>
      </c>
      <c r="F13" s="7">
        <f t="shared" si="0"/>
        <v>299</v>
      </c>
      <c r="G13" s="14"/>
      <c r="H13" t="s">
        <v>22</v>
      </c>
    </row>
    <row r="14" spans="1:8" ht="18" x14ac:dyDescent="0.4">
      <c r="A14" s="1" t="s">
        <v>20</v>
      </c>
      <c r="B14" s="1" t="s">
        <v>21</v>
      </c>
      <c r="C14" s="5">
        <v>6352410816486</v>
      </c>
      <c r="D14" s="6">
        <v>83</v>
      </c>
      <c r="E14" s="6">
        <v>0</v>
      </c>
      <c r="F14" s="7">
        <f t="shared" si="0"/>
        <v>382</v>
      </c>
      <c r="G14" s="14"/>
      <c r="H14" t="s">
        <v>22</v>
      </c>
    </row>
    <row r="15" spans="1:8" ht="18" x14ac:dyDescent="0.4">
      <c r="A15" s="1" t="s">
        <v>23</v>
      </c>
      <c r="B15" s="1"/>
      <c r="C15" s="5" t="s">
        <v>36</v>
      </c>
      <c r="D15" s="6">
        <v>0</v>
      </c>
      <c r="E15" s="15">
        <v>500</v>
      </c>
      <c r="F15" s="7">
        <f t="shared" si="0"/>
        <v>-118</v>
      </c>
      <c r="G15" s="14"/>
      <c r="H15" t="s">
        <v>24</v>
      </c>
    </row>
    <row r="16" spans="1:8" ht="18" x14ac:dyDescent="0.4">
      <c r="A16" s="1" t="s">
        <v>25</v>
      </c>
      <c r="B16" s="1" t="s">
        <v>26</v>
      </c>
      <c r="C16" s="5">
        <v>6352410824922</v>
      </c>
      <c r="D16" s="6">
        <v>900</v>
      </c>
      <c r="E16" s="6">
        <v>1000</v>
      </c>
      <c r="F16" s="7">
        <f t="shared" si="0"/>
        <v>-218</v>
      </c>
      <c r="G16" s="14"/>
    </row>
    <row r="17" spans="1:8" ht="18" x14ac:dyDescent="0.4">
      <c r="A17" s="1" t="s">
        <v>27</v>
      </c>
      <c r="B17" s="1" t="s">
        <v>28</v>
      </c>
      <c r="C17" s="5">
        <v>6352410825274</v>
      </c>
      <c r="D17" s="6">
        <v>1462</v>
      </c>
      <c r="E17" s="6">
        <v>1500</v>
      </c>
      <c r="F17" s="7">
        <f t="shared" si="0"/>
        <v>-256</v>
      </c>
      <c r="G17" s="14"/>
      <c r="H17" t="s">
        <v>29</v>
      </c>
    </row>
    <row r="18" spans="1:8" ht="18" x14ac:dyDescent="0.4">
      <c r="A18" s="1" t="s">
        <v>27</v>
      </c>
      <c r="B18" s="1" t="s">
        <v>28</v>
      </c>
      <c r="C18" s="5">
        <v>6352410825275</v>
      </c>
      <c r="D18" s="6">
        <v>194</v>
      </c>
      <c r="E18" s="6">
        <v>0</v>
      </c>
      <c r="F18" s="7">
        <f t="shared" si="0"/>
        <v>-62</v>
      </c>
      <c r="G18" s="14"/>
    </row>
    <row r="19" spans="1:8" ht="18" x14ac:dyDescent="0.4">
      <c r="A19" s="1" t="s">
        <v>27</v>
      </c>
      <c r="B19" s="1" t="s">
        <v>28</v>
      </c>
      <c r="C19" s="5">
        <v>6352410829756</v>
      </c>
      <c r="D19" s="6">
        <v>260</v>
      </c>
      <c r="E19" s="6">
        <v>0</v>
      </c>
      <c r="F19" s="7">
        <f t="shared" si="0"/>
        <v>198</v>
      </c>
      <c r="G19" s="14"/>
    </row>
    <row r="20" spans="1:8" ht="18" x14ac:dyDescent="0.4">
      <c r="A20" s="1" t="s">
        <v>30</v>
      </c>
      <c r="B20" s="1" t="s">
        <v>31</v>
      </c>
      <c r="C20" s="5">
        <v>6352410832400</v>
      </c>
      <c r="D20" s="6">
        <v>1462</v>
      </c>
      <c r="E20" s="6">
        <v>1562</v>
      </c>
      <c r="F20" s="7">
        <f t="shared" si="0"/>
        <v>98</v>
      </c>
      <c r="G20" s="14"/>
    </row>
    <row r="21" spans="1:8" ht="18" x14ac:dyDescent="0.4">
      <c r="A21" s="4">
        <v>44935</v>
      </c>
      <c r="B21" s="1" t="s">
        <v>33</v>
      </c>
      <c r="C21" s="5">
        <v>6352410835097</v>
      </c>
      <c r="D21" s="6">
        <v>1971</v>
      </c>
      <c r="E21" s="10">
        <v>1533</v>
      </c>
      <c r="F21" s="7">
        <f t="shared" si="0"/>
        <v>536</v>
      </c>
      <c r="G21" s="14"/>
      <c r="H21" s="16" t="s">
        <v>34</v>
      </c>
    </row>
    <row r="22" spans="1:8" ht="18" x14ac:dyDescent="0.4">
      <c r="A22" s="4">
        <v>44935</v>
      </c>
      <c r="B22" s="1" t="s">
        <v>32</v>
      </c>
      <c r="C22" s="5">
        <v>6352410835118</v>
      </c>
      <c r="D22" s="6">
        <v>1971</v>
      </c>
      <c r="E22" s="10">
        <v>1533</v>
      </c>
      <c r="F22" s="7">
        <f t="shared" si="0"/>
        <v>974</v>
      </c>
      <c r="G22" s="14"/>
      <c r="H22" s="16" t="s">
        <v>34</v>
      </c>
    </row>
    <row r="23" spans="1:8" ht="18" x14ac:dyDescent="0.4">
      <c r="A23" s="4">
        <v>44994</v>
      </c>
      <c r="B23" s="1"/>
      <c r="C23" s="5" t="s">
        <v>36</v>
      </c>
      <c r="D23" s="6">
        <v>0</v>
      </c>
      <c r="E23" s="15">
        <v>1074</v>
      </c>
      <c r="F23" s="7">
        <f t="shared" si="0"/>
        <v>-100</v>
      </c>
      <c r="G23" s="14"/>
      <c r="H23" s="17" t="s">
        <v>35</v>
      </c>
    </row>
    <row r="24" spans="1:8" ht="18" x14ac:dyDescent="0.4">
      <c r="A24" s="4">
        <v>44994</v>
      </c>
      <c r="B24" s="1" t="s">
        <v>26</v>
      </c>
      <c r="C24" s="5">
        <v>6352410843159</v>
      </c>
      <c r="D24" s="6">
        <v>383</v>
      </c>
      <c r="E24" s="6">
        <v>435</v>
      </c>
      <c r="F24" s="7">
        <f t="shared" si="0"/>
        <v>-152</v>
      </c>
      <c r="G24" s="14"/>
    </row>
    <row r="25" spans="1:8" ht="18" x14ac:dyDescent="0.4">
      <c r="A25" s="4">
        <v>45025</v>
      </c>
      <c r="B25" s="1" t="s">
        <v>15</v>
      </c>
      <c r="C25" s="5">
        <v>6352410845865</v>
      </c>
      <c r="D25" s="6">
        <v>541</v>
      </c>
      <c r="E25" s="6">
        <v>0</v>
      </c>
      <c r="F25" s="7">
        <f t="shared" si="0"/>
        <v>389</v>
      </c>
      <c r="G25" s="14"/>
    </row>
    <row r="26" spans="1:8" ht="18" x14ac:dyDescent="0.4">
      <c r="A26" s="4">
        <v>45086</v>
      </c>
      <c r="B26" s="1" t="s">
        <v>37</v>
      </c>
      <c r="C26" s="5">
        <v>6352410851097</v>
      </c>
      <c r="D26" s="6">
        <v>1709</v>
      </c>
      <c r="E26" s="6">
        <v>3450</v>
      </c>
      <c r="F26" s="7">
        <f t="shared" si="0"/>
        <v>-1352</v>
      </c>
      <c r="G26" s="14"/>
    </row>
    <row r="27" spans="1:8" ht="18" x14ac:dyDescent="0.4">
      <c r="A27" s="4">
        <v>45086</v>
      </c>
      <c r="B27" s="1" t="s">
        <v>37</v>
      </c>
      <c r="C27" s="5">
        <v>6352410851098</v>
      </c>
      <c r="D27" s="6">
        <v>1709</v>
      </c>
      <c r="E27" s="6">
        <v>0</v>
      </c>
      <c r="F27" s="7">
        <f t="shared" si="0"/>
        <v>357</v>
      </c>
      <c r="G27" s="14"/>
    </row>
    <row r="28" spans="1:8" ht="18" x14ac:dyDescent="0.4">
      <c r="A28" s="4">
        <v>45178</v>
      </c>
      <c r="B28" s="1" t="s">
        <v>38</v>
      </c>
      <c r="C28" s="5">
        <v>6352410857327</v>
      </c>
      <c r="D28" s="6">
        <v>2345</v>
      </c>
      <c r="E28" s="6">
        <v>1679</v>
      </c>
      <c r="F28" s="7">
        <f t="shared" si="0"/>
        <v>1023</v>
      </c>
      <c r="G28" s="14"/>
    </row>
    <row r="29" spans="1:8" ht="18" x14ac:dyDescent="0.4">
      <c r="A29" s="4">
        <v>45178</v>
      </c>
      <c r="B29" s="1" t="s">
        <v>39</v>
      </c>
      <c r="C29" s="5">
        <v>6352410857326</v>
      </c>
      <c r="D29" s="6">
        <v>1123</v>
      </c>
      <c r="E29" s="6">
        <v>1223</v>
      </c>
      <c r="F29" s="7">
        <f t="shared" si="0"/>
        <v>923</v>
      </c>
      <c r="G29" s="14"/>
    </row>
    <row r="30" spans="1:8" ht="18" x14ac:dyDescent="0.4">
      <c r="A30" s="4">
        <v>45208</v>
      </c>
      <c r="B30" s="1" t="s">
        <v>40</v>
      </c>
      <c r="C30" s="5">
        <v>6352410857328</v>
      </c>
      <c r="D30" s="6">
        <v>1276</v>
      </c>
      <c r="E30" s="6">
        <v>1367</v>
      </c>
      <c r="F30" s="7">
        <f t="shared" si="0"/>
        <v>832</v>
      </c>
      <c r="G30" s="14"/>
    </row>
    <row r="31" spans="1:8" ht="18" x14ac:dyDescent="0.4">
      <c r="A31" s="4">
        <v>45269</v>
      </c>
      <c r="B31" s="1" t="s">
        <v>41</v>
      </c>
      <c r="C31" s="5">
        <v>6352410862692</v>
      </c>
      <c r="D31" s="6">
        <v>1875</v>
      </c>
      <c r="E31" s="6">
        <v>1975</v>
      </c>
      <c r="F31" s="7">
        <f t="shared" si="0"/>
        <v>732</v>
      </c>
      <c r="G31" s="14"/>
    </row>
    <row r="32" spans="1:8" ht="18" x14ac:dyDescent="0.4">
      <c r="A32" s="4">
        <v>45269</v>
      </c>
      <c r="B32" s="1" t="s">
        <v>42</v>
      </c>
      <c r="C32" s="5">
        <v>6352410862882</v>
      </c>
      <c r="D32" s="6">
        <v>1875</v>
      </c>
      <c r="E32" s="6">
        <v>2000</v>
      </c>
      <c r="F32" s="7">
        <f t="shared" si="0"/>
        <v>607</v>
      </c>
      <c r="G32" s="14"/>
    </row>
    <row r="33" spans="1:7" ht="18" x14ac:dyDescent="0.4">
      <c r="A33" s="4" t="s">
        <v>44</v>
      </c>
      <c r="B33" s="1" t="s">
        <v>43</v>
      </c>
      <c r="C33" s="5">
        <v>6352410866123</v>
      </c>
      <c r="D33" s="6">
        <v>1239</v>
      </c>
      <c r="E33" s="6">
        <v>0</v>
      </c>
      <c r="F33" s="7">
        <f t="shared" si="0"/>
        <v>1846</v>
      </c>
      <c r="G33" s="14"/>
    </row>
    <row r="34" spans="1:7" ht="18" x14ac:dyDescent="0.4">
      <c r="A34" s="4" t="s">
        <v>45</v>
      </c>
      <c r="B34" s="1" t="s">
        <v>46</v>
      </c>
      <c r="C34" s="5">
        <v>6352410868607</v>
      </c>
      <c r="D34" s="6">
        <v>1732</v>
      </c>
      <c r="E34" s="6">
        <v>3664</v>
      </c>
      <c r="F34" s="7">
        <f t="shared" si="0"/>
        <v>-86</v>
      </c>
      <c r="G34" s="14"/>
    </row>
    <row r="35" spans="1:7" ht="18" x14ac:dyDescent="0.4">
      <c r="A35" s="4" t="s">
        <v>45</v>
      </c>
      <c r="B35" s="1" t="s">
        <v>46</v>
      </c>
      <c r="C35" s="5">
        <v>6352410868606</v>
      </c>
      <c r="D35" s="6">
        <v>1732</v>
      </c>
      <c r="E35" s="6">
        <v>0</v>
      </c>
      <c r="F35" s="7">
        <f t="shared" si="0"/>
        <v>1646</v>
      </c>
      <c r="G35" s="14"/>
    </row>
    <row r="36" spans="1:7" ht="18" x14ac:dyDescent="0.4">
      <c r="A36" s="4" t="s">
        <v>45</v>
      </c>
      <c r="B36" s="1" t="s">
        <v>49</v>
      </c>
      <c r="C36" s="5">
        <v>6352410868680</v>
      </c>
      <c r="D36" s="6">
        <v>1123</v>
      </c>
      <c r="E36" s="6">
        <v>2100</v>
      </c>
      <c r="F36" s="7">
        <f t="shared" si="0"/>
        <v>669</v>
      </c>
      <c r="G36" s="14"/>
    </row>
    <row r="37" spans="1:7" ht="18" x14ac:dyDescent="0.4">
      <c r="A37" s="4" t="s">
        <v>47</v>
      </c>
      <c r="B37" s="1" t="s">
        <v>48</v>
      </c>
      <c r="C37" s="5">
        <v>6352410870509</v>
      </c>
      <c r="D37" s="6">
        <v>1239</v>
      </c>
      <c r="E37" s="6">
        <v>3410</v>
      </c>
      <c r="F37" s="7">
        <f t="shared" si="0"/>
        <v>-1502</v>
      </c>
      <c r="G37" s="14"/>
    </row>
    <row r="38" spans="1:7" ht="18" x14ac:dyDescent="0.4">
      <c r="A38" s="4" t="s">
        <v>47</v>
      </c>
      <c r="B38" s="1" t="s">
        <v>48</v>
      </c>
      <c r="C38" s="5">
        <v>6352410870510</v>
      </c>
      <c r="D38" s="6">
        <v>973</v>
      </c>
      <c r="E38" s="6">
        <v>0</v>
      </c>
      <c r="F38" s="7">
        <f t="shared" si="0"/>
        <v>-529</v>
      </c>
      <c r="G38" s="14"/>
    </row>
    <row r="39" spans="1:7" ht="18" x14ac:dyDescent="0.4">
      <c r="A39" s="4" t="s">
        <v>47</v>
      </c>
      <c r="B39" s="1" t="s">
        <v>48</v>
      </c>
      <c r="C39" s="5">
        <v>6352410870511</v>
      </c>
      <c r="D39" s="6">
        <v>973</v>
      </c>
      <c r="E39" s="6">
        <v>0</v>
      </c>
      <c r="F39" s="7">
        <f t="shared" si="0"/>
        <v>444</v>
      </c>
      <c r="G39" s="14"/>
    </row>
    <row r="40" spans="1:7" ht="18" x14ac:dyDescent="0.4">
      <c r="A40" s="4" t="s">
        <v>50</v>
      </c>
      <c r="B40" s="1" t="s">
        <v>51</v>
      </c>
      <c r="C40" s="5">
        <v>6352410870996</v>
      </c>
      <c r="D40" s="6">
        <v>1276</v>
      </c>
      <c r="E40" s="6">
        <v>1276</v>
      </c>
      <c r="F40" s="7">
        <f t="shared" si="0"/>
        <v>444</v>
      </c>
      <c r="G40" s="14"/>
    </row>
    <row r="41" spans="1:7" ht="18" x14ac:dyDescent="0.4">
      <c r="A41" s="4" t="s">
        <v>50</v>
      </c>
      <c r="B41" s="1" t="s">
        <v>52</v>
      </c>
      <c r="C41" s="5">
        <v>6352410871798</v>
      </c>
      <c r="D41" s="6">
        <v>2335</v>
      </c>
      <c r="E41" s="6">
        <v>3300</v>
      </c>
      <c r="F41" s="7">
        <f t="shared" si="0"/>
        <v>-521</v>
      </c>
      <c r="G41" s="14"/>
    </row>
    <row r="42" spans="1:7" ht="18" x14ac:dyDescent="0.4">
      <c r="A42" s="4" t="s">
        <v>50</v>
      </c>
      <c r="B42" s="1" t="s">
        <v>53</v>
      </c>
      <c r="C42" s="5">
        <v>6342410871800</v>
      </c>
      <c r="D42" s="6">
        <v>1600</v>
      </c>
      <c r="E42" s="6">
        <v>0</v>
      </c>
      <c r="F42" s="7">
        <f t="shared" si="0"/>
        <v>1079</v>
      </c>
      <c r="G42" s="14"/>
    </row>
    <row r="43" spans="1:7" ht="18" x14ac:dyDescent="0.4">
      <c r="A43" s="4" t="s">
        <v>50</v>
      </c>
      <c r="B43" s="1" t="s">
        <v>54</v>
      </c>
      <c r="C43" s="5">
        <v>6352410871960</v>
      </c>
      <c r="D43" s="6">
        <v>1276</v>
      </c>
      <c r="E43" s="6">
        <v>1276</v>
      </c>
      <c r="F43" s="7">
        <f t="shared" si="0"/>
        <v>1079</v>
      </c>
      <c r="G43" s="14"/>
    </row>
    <row r="44" spans="1:7" ht="18" x14ac:dyDescent="0.4">
      <c r="A44" s="4" t="s">
        <v>55</v>
      </c>
      <c r="B44" s="1" t="s">
        <v>56</v>
      </c>
      <c r="C44" s="5">
        <v>6352410874965</v>
      </c>
      <c r="D44" s="6">
        <v>3015</v>
      </c>
      <c r="E44" s="6">
        <v>3120</v>
      </c>
      <c r="F44" s="7">
        <f t="shared" si="0"/>
        <v>974</v>
      </c>
      <c r="G44" s="14"/>
    </row>
    <row r="45" spans="1:7" ht="18" x14ac:dyDescent="0.4">
      <c r="A45" s="18" t="s">
        <v>57</v>
      </c>
      <c r="B45" s="19" t="s">
        <v>34</v>
      </c>
      <c r="C45" s="8">
        <v>6352410866123</v>
      </c>
      <c r="D45" s="10">
        <v>0</v>
      </c>
      <c r="E45" s="10">
        <v>631</v>
      </c>
      <c r="F45" s="20">
        <f t="shared" si="0"/>
        <v>343</v>
      </c>
      <c r="G45" s="14"/>
    </row>
    <row r="46" spans="1:7" ht="18" x14ac:dyDescent="0.4">
      <c r="A46" s="4" t="s">
        <v>58</v>
      </c>
      <c r="B46" s="1" t="s">
        <v>59</v>
      </c>
      <c r="C46" s="5">
        <v>6352410881864</v>
      </c>
      <c r="D46" s="6">
        <v>1462</v>
      </c>
      <c r="E46" s="6">
        <v>1562</v>
      </c>
      <c r="F46" s="7">
        <f t="shared" si="0"/>
        <v>243</v>
      </c>
      <c r="G46" s="14"/>
    </row>
    <row r="47" spans="1:7" ht="18" x14ac:dyDescent="0.4">
      <c r="A47" s="4" t="s">
        <v>60</v>
      </c>
      <c r="B47" s="1" t="s">
        <v>61</v>
      </c>
      <c r="C47" s="5">
        <v>6352410885155</v>
      </c>
      <c r="D47" s="6">
        <v>1462</v>
      </c>
      <c r="E47" s="6">
        <v>1562</v>
      </c>
      <c r="F47" s="7">
        <f t="shared" si="0"/>
        <v>143</v>
      </c>
      <c r="G47" s="14"/>
    </row>
    <row r="48" spans="1:7" ht="18" x14ac:dyDescent="0.4">
      <c r="A48" s="4" t="s">
        <v>62</v>
      </c>
      <c r="B48" s="1" t="s">
        <v>63</v>
      </c>
      <c r="C48" s="5">
        <v>6352410885490</v>
      </c>
      <c r="D48" s="6">
        <v>1123</v>
      </c>
      <c r="E48" s="6">
        <v>1223</v>
      </c>
      <c r="F48" s="7">
        <f t="shared" si="0"/>
        <v>43</v>
      </c>
      <c r="G48" s="14"/>
    </row>
    <row r="49" spans="1:7" ht="18" x14ac:dyDescent="0.4">
      <c r="A49" s="4" t="s">
        <v>62</v>
      </c>
      <c r="B49" s="1" t="s">
        <v>64</v>
      </c>
      <c r="C49" s="5">
        <v>6352410886209</v>
      </c>
      <c r="D49" s="6">
        <v>1462</v>
      </c>
      <c r="E49" s="6">
        <v>1562</v>
      </c>
      <c r="F49" s="7">
        <f t="shared" si="0"/>
        <v>-57</v>
      </c>
      <c r="G49" s="14"/>
    </row>
    <row r="50" spans="1:7" ht="18" x14ac:dyDescent="0.4">
      <c r="A50" s="4" t="s">
        <v>65</v>
      </c>
      <c r="B50" s="1" t="s">
        <v>66</v>
      </c>
      <c r="C50" s="5">
        <v>6352410888350</v>
      </c>
      <c r="D50" s="6">
        <v>1574</v>
      </c>
      <c r="E50" s="6">
        <v>1674</v>
      </c>
      <c r="F50" s="7">
        <f t="shared" si="0"/>
        <v>-157</v>
      </c>
      <c r="G50" s="14"/>
    </row>
    <row r="51" spans="1:7" ht="18" x14ac:dyDescent="0.4">
      <c r="A51" s="4" t="s">
        <v>65</v>
      </c>
      <c r="B51" s="1" t="s">
        <v>67</v>
      </c>
      <c r="C51" s="5">
        <v>6352410888603</v>
      </c>
      <c r="D51" s="6">
        <v>2105</v>
      </c>
      <c r="E51" s="6">
        <v>13500</v>
      </c>
      <c r="F51" s="7">
        <f t="shared" si="0"/>
        <v>-11552</v>
      </c>
      <c r="G51" s="14"/>
    </row>
    <row r="52" spans="1:7" ht="18" x14ac:dyDescent="0.4">
      <c r="A52" s="4" t="s">
        <v>65</v>
      </c>
      <c r="B52" s="1" t="s">
        <v>68</v>
      </c>
      <c r="C52" s="5">
        <v>6352410888611</v>
      </c>
      <c r="D52" s="6">
        <v>2105</v>
      </c>
      <c r="E52" s="6">
        <v>0</v>
      </c>
      <c r="F52" s="7">
        <f t="shared" si="0"/>
        <v>-9447</v>
      </c>
      <c r="G52" s="14"/>
    </row>
    <row r="53" spans="1:7" ht="18" x14ac:dyDescent="0.4">
      <c r="A53" s="4" t="s">
        <v>65</v>
      </c>
      <c r="B53" s="1" t="s">
        <v>68</v>
      </c>
      <c r="C53" s="5">
        <v>6352410888609</v>
      </c>
      <c r="D53" s="6">
        <v>2105</v>
      </c>
      <c r="E53" s="6">
        <v>0</v>
      </c>
      <c r="F53" s="7">
        <f t="shared" si="0"/>
        <v>-7342</v>
      </c>
      <c r="G53" s="14"/>
    </row>
    <row r="54" spans="1:7" ht="18" x14ac:dyDescent="0.4">
      <c r="A54" s="4" t="s">
        <v>65</v>
      </c>
      <c r="B54" s="1" t="s">
        <v>68</v>
      </c>
      <c r="C54" s="5">
        <v>6352410888613</v>
      </c>
      <c r="D54" s="6">
        <v>2105</v>
      </c>
      <c r="E54" s="6">
        <v>0</v>
      </c>
      <c r="F54" s="7">
        <f t="shared" si="0"/>
        <v>-5237</v>
      </c>
      <c r="G54" s="14"/>
    </row>
    <row r="55" spans="1:7" ht="18" x14ac:dyDescent="0.4">
      <c r="A55" s="4" t="s">
        <v>65</v>
      </c>
      <c r="B55" s="1" t="s">
        <v>68</v>
      </c>
      <c r="C55" s="5">
        <v>6352410888612</v>
      </c>
      <c r="D55" s="6">
        <v>2105</v>
      </c>
      <c r="E55" s="6"/>
      <c r="F55" s="7">
        <f t="shared" si="0"/>
        <v>-3132</v>
      </c>
      <c r="G55" s="14"/>
    </row>
    <row r="56" spans="1:7" ht="18" x14ac:dyDescent="0.4">
      <c r="A56" s="4" t="s">
        <v>65</v>
      </c>
      <c r="B56" s="1" t="s">
        <v>68</v>
      </c>
      <c r="C56" s="5">
        <v>6352410888610</v>
      </c>
      <c r="D56" s="6">
        <v>2105</v>
      </c>
      <c r="E56" s="6">
        <v>0</v>
      </c>
      <c r="F56" s="7">
        <f t="shared" si="0"/>
        <v>-1027</v>
      </c>
      <c r="G56" s="14"/>
    </row>
    <row r="57" spans="1:7" ht="18" x14ac:dyDescent="0.4">
      <c r="A57" s="4" t="s">
        <v>69</v>
      </c>
      <c r="B57" s="1" t="s">
        <v>70</v>
      </c>
      <c r="C57" s="5">
        <v>6352410890209</v>
      </c>
      <c r="D57" s="6">
        <v>2501</v>
      </c>
      <c r="E57" s="6">
        <v>7672</v>
      </c>
      <c r="F57" s="7">
        <f t="shared" si="0"/>
        <v>-6198</v>
      </c>
      <c r="G57" s="14"/>
    </row>
    <row r="58" spans="1:7" ht="18" x14ac:dyDescent="0.4">
      <c r="A58" s="4" t="s">
        <v>69</v>
      </c>
      <c r="B58" s="1" t="s">
        <v>71</v>
      </c>
      <c r="C58" s="5">
        <v>6352410890205</v>
      </c>
      <c r="D58" s="6">
        <v>604</v>
      </c>
      <c r="E58" s="6">
        <v>255</v>
      </c>
      <c r="F58" s="7">
        <f t="shared" si="0"/>
        <v>-5849</v>
      </c>
      <c r="G58" s="14"/>
    </row>
    <row r="59" spans="1:7" ht="18" x14ac:dyDescent="0.4">
      <c r="A59" s="4" t="s">
        <v>69</v>
      </c>
      <c r="B59" s="1" t="s">
        <v>71</v>
      </c>
      <c r="C59" s="5">
        <v>6352410890203</v>
      </c>
      <c r="D59" s="6">
        <v>2501</v>
      </c>
      <c r="E59" s="6">
        <v>0</v>
      </c>
      <c r="F59" s="7">
        <f t="shared" si="0"/>
        <v>-3348</v>
      </c>
      <c r="G59" s="14"/>
    </row>
    <row r="60" spans="1:7" ht="18" x14ac:dyDescent="0.4">
      <c r="A60" s="4" t="s">
        <v>69</v>
      </c>
      <c r="B60" s="1" t="s">
        <v>71</v>
      </c>
      <c r="C60" s="5">
        <v>6352410890204</v>
      </c>
      <c r="D60" s="6">
        <v>2006</v>
      </c>
      <c r="E60" s="6">
        <v>0</v>
      </c>
      <c r="F60" s="7">
        <f t="shared" si="0"/>
        <v>-1342</v>
      </c>
      <c r="G60" s="14"/>
    </row>
    <row r="61" spans="1:7" ht="18" x14ac:dyDescent="0.4">
      <c r="A61" s="4" t="s">
        <v>72</v>
      </c>
      <c r="B61" s="1" t="s">
        <v>73</v>
      </c>
      <c r="C61" s="5">
        <v>6352410890583</v>
      </c>
      <c r="D61" s="6">
        <v>1462</v>
      </c>
      <c r="E61" s="6">
        <v>10494</v>
      </c>
      <c r="F61" s="7">
        <f t="shared" si="0"/>
        <v>-10374</v>
      </c>
      <c r="G61" s="14"/>
    </row>
    <row r="62" spans="1:7" ht="18" x14ac:dyDescent="0.4">
      <c r="A62" s="4" t="s">
        <v>72</v>
      </c>
      <c r="B62" s="1" t="s">
        <v>73</v>
      </c>
      <c r="C62" s="5">
        <v>6352410890584</v>
      </c>
      <c r="D62" s="6">
        <v>1462</v>
      </c>
      <c r="E62" s="6">
        <v>0</v>
      </c>
      <c r="F62" s="7">
        <f t="shared" si="0"/>
        <v>-8912</v>
      </c>
      <c r="G62" s="14"/>
    </row>
    <row r="63" spans="1:7" ht="18" x14ac:dyDescent="0.4">
      <c r="A63" s="4" t="s">
        <v>72</v>
      </c>
      <c r="B63" s="1" t="s">
        <v>73</v>
      </c>
      <c r="C63" s="5">
        <v>6352410890585</v>
      </c>
      <c r="D63" s="6">
        <v>1462</v>
      </c>
      <c r="E63" s="6">
        <v>0</v>
      </c>
      <c r="F63" s="7">
        <f t="shared" si="0"/>
        <v>-7450</v>
      </c>
      <c r="G63" s="14"/>
    </row>
    <row r="64" spans="1:7" ht="18" x14ac:dyDescent="0.4">
      <c r="A64" s="4" t="s">
        <v>72</v>
      </c>
      <c r="B64" s="1" t="s">
        <v>73</v>
      </c>
      <c r="C64" s="5">
        <v>6352410890586</v>
      </c>
      <c r="D64" s="6">
        <v>1462</v>
      </c>
      <c r="E64" s="6">
        <v>0</v>
      </c>
      <c r="F64" s="7">
        <f t="shared" si="0"/>
        <v>-5988</v>
      </c>
      <c r="G64" s="14"/>
    </row>
    <row r="65" spans="1:7" ht="18" x14ac:dyDescent="0.4">
      <c r="A65" s="4" t="s">
        <v>72</v>
      </c>
      <c r="B65" s="1" t="s">
        <v>73</v>
      </c>
      <c r="C65" s="5">
        <v>6352410890587</v>
      </c>
      <c r="D65" s="6">
        <v>1462</v>
      </c>
      <c r="E65" s="6">
        <v>0</v>
      </c>
      <c r="F65" s="7">
        <f t="shared" si="0"/>
        <v>-4526</v>
      </c>
      <c r="G65" s="14"/>
    </row>
    <row r="66" spans="1:7" ht="18" x14ac:dyDescent="0.4">
      <c r="A66" s="4" t="s">
        <v>72</v>
      </c>
      <c r="B66" s="1" t="s">
        <v>74</v>
      </c>
      <c r="C66" s="5">
        <v>6352410890690</v>
      </c>
      <c r="D66" s="6">
        <v>1252</v>
      </c>
      <c r="E66" s="6">
        <v>0</v>
      </c>
      <c r="F66" s="7">
        <f t="shared" si="0"/>
        <v>-3274</v>
      </c>
      <c r="G66" s="14"/>
    </row>
    <row r="67" spans="1:7" ht="18" x14ac:dyDescent="0.4">
      <c r="A67" s="4" t="s">
        <v>72</v>
      </c>
      <c r="B67" s="1" t="s">
        <v>74</v>
      </c>
      <c r="C67" s="5">
        <v>6352410890690</v>
      </c>
      <c r="D67" s="6">
        <v>1252</v>
      </c>
      <c r="E67" s="6">
        <v>0</v>
      </c>
      <c r="F67" s="7">
        <f t="shared" si="0"/>
        <v>-2022</v>
      </c>
      <c r="G67" s="14"/>
    </row>
    <row r="68" spans="1:7" ht="18" x14ac:dyDescent="0.4">
      <c r="A68" s="4" t="s">
        <v>75</v>
      </c>
      <c r="B68" s="1" t="s">
        <v>76</v>
      </c>
      <c r="C68" s="5">
        <v>6352410896206</v>
      </c>
      <c r="D68" s="6">
        <v>1874</v>
      </c>
      <c r="E68" s="6">
        <v>0</v>
      </c>
      <c r="F68" s="7">
        <f t="shared" si="0"/>
        <v>-148</v>
      </c>
      <c r="G68" s="14"/>
    </row>
    <row r="69" spans="1:7" ht="18" x14ac:dyDescent="0.4">
      <c r="A69" s="4" t="s">
        <v>75</v>
      </c>
      <c r="B69" s="1" t="s">
        <v>76</v>
      </c>
      <c r="C69" s="5">
        <v>6352410896207</v>
      </c>
      <c r="D69" s="6">
        <v>1874</v>
      </c>
      <c r="E69" s="6">
        <v>0</v>
      </c>
      <c r="F69" s="7">
        <f t="shared" si="0"/>
        <v>1726</v>
      </c>
      <c r="G69" s="14"/>
    </row>
    <row r="70" spans="1:7" ht="18.5" thickBot="1" x14ac:dyDescent="0.45">
      <c r="A70" s="22"/>
      <c r="B70" s="22"/>
      <c r="C70" s="23"/>
      <c r="D70" s="24">
        <f>SUM(D2:D69)</f>
        <v>94511</v>
      </c>
      <c r="E70" s="24">
        <f>SUM(E2:E69)</f>
        <v>92785</v>
      </c>
      <c r="F70" s="25">
        <f t="shared" ref="F70" si="1">D70-E70</f>
        <v>1726</v>
      </c>
      <c r="G70" s="14"/>
    </row>
    <row r="71" spans="1:7" ht="25.5" thickBot="1" x14ac:dyDescent="0.55000000000000004">
      <c r="A71" s="34" t="s">
        <v>142</v>
      </c>
      <c r="B71" s="35"/>
      <c r="C71" s="35"/>
      <c r="D71" s="35"/>
      <c r="E71" s="26"/>
      <c r="F71" s="27"/>
      <c r="G71" s="2"/>
    </row>
    <row r="72" spans="1:7" ht="18" x14ac:dyDescent="0.4">
      <c r="A72" s="2"/>
      <c r="B72" s="2"/>
      <c r="C72" s="2"/>
      <c r="D72" s="2"/>
      <c r="E72" s="2"/>
      <c r="F72" s="2"/>
      <c r="G72" s="2"/>
    </row>
    <row r="73" spans="1:7" ht="18" x14ac:dyDescent="0.4">
      <c r="A73" s="2"/>
      <c r="B73" s="2"/>
      <c r="C73" s="2"/>
      <c r="D73" s="2"/>
      <c r="E73" s="2"/>
      <c r="F73" s="2"/>
      <c r="G73" s="2"/>
    </row>
    <row r="74" spans="1:7" ht="18" x14ac:dyDescent="0.4">
      <c r="A74" s="2"/>
      <c r="B74" s="2"/>
      <c r="C74" s="2"/>
      <c r="D74" s="2"/>
      <c r="E74" s="2"/>
      <c r="F74" s="2"/>
      <c r="G74" s="2"/>
    </row>
    <row r="75" spans="1:7" ht="18" x14ac:dyDescent="0.4">
      <c r="A75" s="2"/>
      <c r="B75" s="2"/>
      <c r="C75" s="2"/>
      <c r="D75" s="2"/>
      <c r="E75" s="2"/>
      <c r="F75" s="2"/>
      <c r="G75" s="2"/>
    </row>
    <row r="76" spans="1:7" ht="18" x14ac:dyDescent="0.4">
      <c r="A76" s="2"/>
      <c r="B76" s="2"/>
      <c r="C76" s="2"/>
      <c r="D76" s="2"/>
      <c r="E76" s="2"/>
      <c r="F76" s="2"/>
      <c r="G76" s="2"/>
    </row>
    <row r="77" spans="1:7" ht="18" x14ac:dyDescent="0.4">
      <c r="A77" s="2"/>
      <c r="B77" s="2"/>
      <c r="C77" s="2"/>
      <c r="D77" s="2"/>
      <c r="E77" s="2"/>
      <c r="F77" s="2"/>
      <c r="G77" s="2"/>
    </row>
    <row r="78" spans="1:7" ht="18" x14ac:dyDescent="0.4">
      <c r="A78" s="2"/>
      <c r="B78" s="2"/>
      <c r="C78" s="2"/>
      <c r="D78" s="2"/>
      <c r="E78" s="2"/>
      <c r="F78" s="2"/>
      <c r="G78" s="2"/>
    </row>
    <row r="79" spans="1:7" ht="18" x14ac:dyDescent="0.4">
      <c r="A79" s="2"/>
      <c r="B79" s="2"/>
      <c r="C79" s="2"/>
      <c r="D79" s="2"/>
      <c r="E79" s="2"/>
      <c r="F79" s="2"/>
      <c r="G79" s="2"/>
    </row>
    <row r="80" spans="1:7" ht="18" x14ac:dyDescent="0.4">
      <c r="A80" s="2"/>
      <c r="B80" s="2"/>
      <c r="C80" s="2"/>
      <c r="D80" s="2"/>
      <c r="E80" s="2"/>
      <c r="F80" s="2"/>
      <c r="G80" s="2"/>
    </row>
    <row r="81" spans="1:7" ht="18" x14ac:dyDescent="0.4">
      <c r="A81" s="2"/>
      <c r="B81" s="2"/>
      <c r="C81" s="2"/>
      <c r="D81" s="2"/>
      <c r="E81" s="2"/>
      <c r="F81" s="2"/>
      <c r="G81" s="2"/>
    </row>
    <row r="82" spans="1:7" ht="18" x14ac:dyDescent="0.4">
      <c r="A82" s="2"/>
      <c r="B82" s="2"/>
      <c r="C82" s="2"/>
      <c r="D82" s="2"/>
      <c r="E82" s="2"/>
      <c r="F82" s="2"/>
      <c r="G82" s="2"/>
    </row>
    <row r="83" spans="1:7" ht="18" x14ac:dyDescent="0.4">
      <c r="A83" s="2"/>
      <c r="B83" s="2"/>
      <c r="C83" s="2"/>
      <c r="D83" s="2"/>
      <c r="E83" s="2"/>
      <c r="F83" s="2"/>
      <c r="G83" s="2"/>
    </row>
    <row r="84" spans="1:7" ht="18" x14ac:dyDescent="0.4">
      <c r="A84" s="2"/>
      <c r="B84" s="2"/>
      <c r="C84" s="2"/>
      <c r="D84" s="2"/>
      <c r="E84" s="2"/>
      <c r="F84" s="2"/>
      <c r="G84" s="2"/>
    </row>
    <row r="85" spans="1:7" ht="18" x14ac:dyDescent="0.4">
      <c r="A85" s="2"/>
      <c r="B85" s="2"/>
      <c r="C85" s="2"/>
      <c r="D85" s="2"/>
      <c r="E85" s="2"/>
      <c r="F85" s="2"/>
      <c r="G85" s="2"/>
    </row>
    <row r="86" spans="1:7" ht="18" x14ac:dyDescent="0.4">
      <c r="A86" s="2"/>
      <c r="B86" s="2"/>
      <c r="C86" s="2"/>
      <c r="D86" s="2"/>
      <c r="E86" s="2"/>
      <c r="F86" s="2"/>
      <c r="G86" s="2"/>
    </row>
    <row r="87" spans="1:7" ht="18" x14ac:dyDescent="0.4">
      <c r="A87" s="2"/>
      <c r="B87" s="2"/>
      <c r="C87" s="2"/>
      <c r="D87" s="2"/>
      <c r="E87" s="2"/>
      <c r="F87" s="2"/>
      <c r="G87" s="2"/>
    </row>
    <row r="88" spans="1:7" ht="18" x14ac:dyDescent="0.4">
      <c r="A88" s="2"/>
      <c r="B88" s="2"/>
      <c r="C88" s="2"/>
      <c r="D88" s="2"/>
      <c r="E88" s="2"/>
      <c r="F88" s="2"/>
      <c r="G88" s="2"/>
    </row>
    <row r="89" spans="1:7" ht="18" x14ac:dyDescent="0.4">
      <c r="A89" s="2"/>
      <c r="B89" s="2"/>
      <c r="C89" s="2"/>
      <c r="D89" s="2"/>
      <c r="E89" s="2"/>
      <c r="F89" s="2"/>
      <c r="G89" s="2"/>
    </row>
    <row r="90" spans="1:7" ht="18" x14ac:dyDescent="0.4">
      <c r="A90" s="2"/>
      <c r="B90" s="2"/>
      <c r="C90" s="2"/>
      <c r="D90" s="2"/>
      <c r="E90" s="2"/>
      <c r="F90" s="2"/>
      <c r="G90" s="2"/>
    </row>
    <row r="91" spans="1:7" ht="18" x14ac:dyDescent="0.4">
      <c r="A91" s="2"/>
      <c r="B91" s="2"/>
      <c r="C91" s="2"/>
      <c r="D91" s="2"/>
      <c r="E91" s="2"/>
      <c r="F91" s="2"/>
      <c r="G91" s="2"/>
    </row>
    <row r="92" spans="1:7" ht="18" x14ac:dyDescent="0.4">
      <c r="A92" s="2"/>
      <c r="B92" s="2"/>
      <c r="C92" s="2"/>
      <c r="D92" s="2"/>
      <c r="E92" s="2"/>
      <c r="F92" s="2"/>
      <c r="G92" s="2"/>
    </row>
    <row r="93" spans="1:7" ht="18" x14ac:dyDescent="0.4">
      <c r="A93" s="2"/>
      <c r="B93" s="2"/>
      <c r="C93" s="2"/>
      <c r="D93" s="2"/>
      <c r="E93" s="2"/>
      <c r="F93" s="2"/>
      <c r="G93" s="2"/>
    </row>
    <row r="94" spans="1:7" ht="18" x14ac:dyDescent="0.4">
      <c r="A94" s="2"/>
      <c r="B94" s="2"/>
      <c r="C94" s="2"/>
      <c r="D94" s="2"/>
      <c r="E94" s="2"/>
      <c r="F94" s="2"/>
      <c r="G94" s="2"/>
    </row>
    <row r="95" spans="1:7" ht="18" x14ac:dyDescent="0.4">
      <c r="A95" s="2"/>
      <c r="B95" s="2"/>
      <c r="C95" s="2"/>
      <c r="D95" s="2"/>
      <c r="E95" s="2"/>
      <c r="F95" s="2"/>
      <c r="G95" s="2"/>
    </row>
    <row r="96" spans="1:7" ht="18" x14ac:dyDescent="0.4">
      <c r="A96" s="2"/>
      <c r="B96" s="2"/>
      <c r="C96" s="2"/>
      <c r="D96" s="2"/>
      <c r="E96" s="2"/>
      <c r="F96" s="2"/>
      <c r="G96" s="2"/>
    </row>
    <row r="97" spans="1:7" ht="18" x14ac:dyDescent="0.4">
      <c r="A97" s="2"/>
      <c r="B97" s="2"/>
      <c r="C97" s="2"/>
      <c r="D97" s="2"/>
      <c r="E97" s="2"/>
      <c r="F97" s="2"/>
      <c r="G97" s="2"/>
    </row>
    <row r="98" spans="1:7" ht="18" x14ac:dyDescent="0.4">
      <c r="A98" s="2"/>
      <c r="B98" s="2"/>
      <c r="C98" s="2"/>
      <c r="D98" s="2"/>
      <c r="E98" s="2"/>
      <c r="F98" s="2"/>
      <c r="G98" s="2"/>
    </row>
  </sheetData>
  <mergeCells count="1">
    <mergeCell ref="A71:D71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7A9DE-D494-4148-899B-B3EAB71B0794}">
  <dimension ref="A1:J64"/>
  <sheetViews>
    <sheetView rightToLeft="1" topLeftCell="A52" workbookViewId="0">
      <selection activeCell="A64" sqref="A64:C64"/>
    </sheetView>
  </sheetViews>
  <sheetFormatPr defaultRowHeight="14" x14ac:dyDescent="0.3"/>
  <cols>
    <col min="1" max="1" width="13" bestFit="1" customWidth="1"/>
    <col min="2" max="2" width="10.6640625" bestFit="1" customWidth="1"/>
    <col min="3" max="3" width="17.08203125" bestFit="1" customWidth="1"/>
    <col min="4" max="5" width="13.1640625" bestFit="1" customWidth="1"/>
    <col min="6" max="6" width="13.9140625" bestFit="1" customWidth="1"/>
    <col min="7" max="7" width="9.75" bestFit="1" customWidth="1"/>
    <col min="8" max="8" width="27.33203125" bestFit="1" customWidth="1"/>
    <col min="9" max="9" width="12.25" bestFit="1" customWidth="1"/>
    <col min="10" max="10" width="19.75" bestFit="1" customWidth="1"/>
  </cols>
  <sheetData>
    <row r="1" spans="1:10" ht="18" x14ac:dyDescent="0.4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</row>
    <row r="2" spans="1:10" ht="18" x14ac:dyDescent="0.4">
      <c r="A2" s="4">
        <v>44967</v>
      </c>
      <c r="B2" s="1" t="s">
        <v>77</v>
      </c>
      <c r="C2" s="5">
        <v>2410900866</v>
      </c>
      <c r="D2" s="6">
        <v>1462</v>
      </c>
      <c r="E2" s="6">
        <v>1562</v>
      </c>
      <c r="F2" s="7">
        <f>D2-E2</f>
        <v>-100</v>
      </c>
    </row>
    <row r="3" spans="1:10" ht="18" x14ac:dyDescent="0.4">
      <c r="A3" s="4">
        <v>45087</v>
      </c>
      <c r="B3" s="1" t="s">
        <v>78</v>
      </c>
      <c r="C3" s="5">
        <v>2410907702</v>
      </c>
      <c r="D3" s="6">
        <v>1574</v>
      </c>
      <c r="E3" s="6">
        <v>3148</v>
      </c>
      <c r="F3" s="7">
        <f>F2+D3-E3</f>
        <v>-1674</v>
      </c>
    </row>
    <row r="4" spans="1:10" ht="18" x14ac:dyDescent="0.4">
      <c r="A4" s="4">
        <v>45087</v>
      </c>
      <c r="B4" s="1" t="s">
        <v>78</v>
      </c>
      <c r="C4" s="5">
        <v>2410907701</v>
      </c>
      <c r="D4" s="6">
        <v>1574</v>
      </c>
      <c r="E4" s="6">
        <v>0</v>
      </c>
      <c r="F4" s="7">
        <f t="shared" ref="F4:F63" si="0">F3+D4-E4</f>
        <v>-100</v>
      </c>
    </row>
    <row r="5" spans="1:10" ht="18" x14ac:dyDescent="0.4">
      <c r="A5" s="4">
        <v>45087</v>
      </c>
      <c r="B5" s="1" t="s">
        <v>79</v>
      </c>
      <c r="C5" s="5">
        <v>2410907835</v>
      </c>
      <c r="D5" s="6">
        <v>752</v>
      </c>
      <c r="E5" s="6">
        <v>4000</v>
      </c>
      <c r="F5" s="7">
        <f t="shared" si="0"/>
        <v>-3348</v>
      </c>
      <c r="H5" t="s">
        <v>135</v>
      </c>
      <c r="I5" t="s">
        <v>137</v>
      </c>
    </row>
    <row r="6" spans="1:10" ht="18" x14ac:dyDescent="0.4">
      <c r="A6" s="4">
        <v>45087</v>
      </c>
      <c r="B6" s="1" t="s">
        <v>80</v>
      </c>
      <c r="C6" s="5">
        <v>2410907844</v>
      </c>
      <c r="D6" s="6">
        <v>377</v>
      </c>
      <c r="E6" s="6">
        <v>0</v>
      </c>
      <c r="F6" s="7">
        <f t="shared" si="0"/>
        <v>-2971</v>
      </c>
      <c r="H6" t="s">
        <v>135</v>
      </c>
      <c r="I6" t="s">
        <v>137</v>
      </c>
    </row>
    <row r="7" spans="1:10" ht="18" x14ac:dyDescent="0.4">
      <c r="A7" s="4">
        <v>45087</v>
      </c>
      <c r="B7" s="1" t="s">
        <v>80</v>
      </c>
      <c r="C7" s="5">
        <v>2410907843</v>
      </c>
      <c r="D7" s="6">
        <v>377</v>
      </c>
      <c r="E7" s="6">
        <v>0</v>
      </c>
      <c r="F7" s="7">
        <f t="shared" si="0"/>
        <v>-2594</v>
      </c>
      <c r="H7" t="s">
        <v>135</v>
      </c>
      <c r="I7" t="s">
        <v>137</v>
      </c>
    </row>
    <row r="8" spans="1:10" ht="18" x14ac:dyDescent="0.4">
      <c r="A8" s="4">
        <v>45087</v>
      </c>
      <c r="B8" s="1" t="s">
        <v>80</v>
      </c>
      <c r="C8" s="5">
        <v>2410907842</v>
      </c>
      <c r="D8" s="6">
        <v>377</v>
      </c>
      <c r="E8" s="6">
        <v>0</v>
      </c>
      <c r="F8" s="7">
        <f t="shared" si="0"/>
        <v>-2217</v>
      </c>
      <c r="H8" t="s">
        <v>135</v>
      </c>
      <c r="I8" t="s">
        <v>137</v>
      </c>
    </row>
    <row r="9" spans="1:10" ht="18" x14ac:dyDescent="0.4">
      <c r="A9" s="4">
        <v>45087</v>
      </c>
      <c r="B9" s="1" t="s">
        <v>81</v>
      </c>
      <c r="C9" s="5">
        <v>2410907968</v>
      </c>
      <c r="D9" s="6">
        <v>752</v>
      </c>
      <c r="E9" s="6">
        <v>0</v>
      </c>
      <c r="F9" s="7">
        <f t="shared" si="0"/>
        <v>-1465</v>
      </c>
      <c r="H9" t="s">
        <v>135</v>
      </c>
      <c r="I9" t="s">
        <v>137</v>
      </c>
    </row>
    <row r="10" spans="1:10" ht="18" x14ac:dyDescent="0.4">
      <c r="A10" s="4">
        <v>45087</v>
      </c>
      <c r="B10" s="1" t="s">
        <v>82</v>
      </c>
      <c r="C10" s="5">
        <v>2410908014</v>
      </c>
      <c r="D10" s="6">
        <v>377</v>
      </c>
      <c r="E10" s="6">
        <v>0</v>
      </c>
      <c r="F10" s="7">
        <f t="shared" si="0"/>
        <v>-1088</v>
      </c>
      <c r="H10" t="s">
        <v>135</v>
      </c>
      <c r="I10" t="s">
        <v>137</v>
      </c>
    </row>
    <row r="11" spans="1:10" ht="18" x14ac:dyDescent="0.4">
      <c r="A11" s="4">
        <v>45148</v>
      </c>
      <c r="B11" s="1" t="s">
        <v>83</v>
      </c>
      <c r="C11" s="5">
        <v>2410912108</v>
      </c>
      <c r="D11" s="6">
        <v>752</v>
      </c>
      <c r="E11" s="6">
        <v>0</v>
      </c>
      <c r="F11" s="7">
        <f t="shared" si="0"/>
        <v>-336</v>
      </c>
      <c r="H11" t="s">
        <v>136</v>
      </c>
      <c r="I11" t="s">
        <v>137</v>
      </c>
    </row>
    <row r="12" spans="1:10" ht="18" x14ac:dyDescent="0.4">
      <c r="A12" s="4">
        <v>45179</v>
      </c>
      <c r="B12" s="1" t="s">
        <v>84</v>
      </c>
      <c r="C12" s="5">
        <v>2410913855</v>
      </c>
      <c r="D12" s="6">
        <v>1244</v>
      </c>
      <c r="E12" s="6">
        <v>0</v>
      </c>
      <c r="F12" s="7">
        <f t="shared" si="0"/>
        <v>908</v>
      </c>
      <c r="H12" t="s">
        <v>92</v>
      </c>
      <c r="I12" t="s">
        <v>93</v>
      </c>
      <c r="J12" t="s">
        <v>94</v>
      </c>
    </row>
    <row r="13" spans="1:10" ht="18" x14ac:dyDescent="0.4">
      <c r="A13" s="4">
        <v>45209</v>
      </c>
      <c r="B13" s="1"/>
      <c r="C13" s="8" t="s">
        <v>36</v>
      </c>
      <c r="D13" s="6">
        <v>0</v>
      </c>
      <c r="E13" s="6">
        <v>10105</v>
      </c>
      <c r="F13" s="7">
        <f t="shared" si="0"/>
        <v>-9197</v>
      </c>
      <c r="H13" s="11" t="s">
        <v>85</v>
      </c>
    </row>
    <row r="14" spans="1:10" ht="18" x14ac:dyDescent="0.4">
      <c r="A14" s="4">
        <v>45270</v>
      </c>
      <c r="B14" s="1" t="s">
        <v>86</v>
      </c>
      <c r="C14" s="5">
        <v>2410919896</v>
      </c>
      <c r="D14" s="6">
        <v>377</v>
      </c>
      <c r="E14" s="6">
        <v>0</v>
      </c>
      <c r="F14" s="7">
        <f t="shared" si="0"/>
        <v>-8820</v>
      </c>
      <c r="H14" t="s">
        <v>136</v>
      </c>
      <c r="I14" t="s">
        <v>137</v>
      </c>
    </row>
    <row r="15" spans="1:10" ht="18" x14ac:dyDescent="0.4">
      <c r="A15" s="4">
        <v>45270</v>
      </c>
      <c r="B15" s="1" t="s">
        <v>86</v>
      </c>
      <c r="C15" s="5">
        <v>2410919897</v>
      </c>
      <c r="D15" s="6">
        <v>377</v>
      </c>
      <c r="E15" s="6">
        <v>0</v>
      </c>
      <c r="F15" s="7">
        <f t="shared" si="0"/>
        <v>-8443</v>
      </c>
      <c r="H15" t="s">
        <v>136</v>
      </c>
      <c r="I15" t="s">
        <v>137</v>
      </c>
    </row>
    <row r="16" spans="1:10" ht="18" x14ac:dyDescent="0.4">
      <c r="A16" s="4">
        <v>45270</v>
      </c>
      <c r="B16" s="1" t="s">
        <v>87</v>
      </c>
      <c r="C16" s="5">
        <v>2410919891</v>
      </c>
      <c r="D16" s="6">
        <v>752</v>
      </c>
      <c r="E16" s="6">
        <v>0</v>
      </c>
      <c r="F16" s="7">
        <f t="shared" si="0"/>
        <v>-7691</v>
      </c>
      <c r="H16" t="s">
        <v>136</v>
      </c>
      <c r="I16" t="s">
        <v>137</v>
      </c>
    </row>
    <row r="17" spans="1:9" ht="18" x14ac:dyDescent="0.4">
      <c r="A17" s="4">
        <v>45270</v>
      </c>
      <c r="B17" s="1" t="s">
        <v>88</v>
      </c>
      <c r="C17" s="5">
        <v>2410919954</v>
      </c>
      <c r="D17" s="6">
        <v>2428</v>
      </c>
      <c r="E17" s="6">
        <v>2528</v>
      </c>
      <c r="F17" s="7">
        <f t="shared" si="0"/>
        <v>-7791</v>
      </c>
    </row>
    <row r="18" spans="1:9" ht="18" x14ac:dyDescent="0.4">
      <c r="A18" s="1" t="s">
        <v>89</v>
      </c>
      <c r="B18" s="1" t="s">
        <v>90</v>
      </c>
      <c r="C18" s="5">
        <v>2410921111</v>
      </c>
      <c r="D18" s="6">
        <v>752</v>
      </c>
      <c r="E18" s="6">
        <v>0</v>
      </c>
      <c r="F18" s="7">
        <f t="shared" si="0"/>
        <v>-7039</v>
      </c>
      <c r="H18" t="s">
        <v>136</v>
      </c>
      <c r="I18" t="s">
        <v>137</v>
      </c>
    </row>
    <row r="19" spans="1:9" ht="18" x14ac:dyDescent="0.4">
      <c r="A19" s="1" t="s">
        <v>95</v>
      </c>
      <c r="B19" s="1" t="s">
        <v>31</v>
      </c>
      <c r="C19" s="5">
        <v>2410922475</v>
      </c>
      <c r="D19" s="6">
        <v>518</v>
      </c>
      <c r="E19" s="6">
        <v>0</v>
      </c>
      <c r="F19" s="7">
        <f t="shared" si="0"/>
        <v>-6521</v>
      </c>
      <c r="H19" s="11" t="s">
        <v>102</v>
      </c>
    </row>
    <row r="20" spans="1:9" ht="18" x14ac:dyDescent="0.4">
      <c r="A20" s="1" t="s">
        <v>96</v>
      </c>
      <c r="B20" s="1" t="s">
        <v>97</v>
      </c>
      <c r="C20" s="5">
        <v>2410924438</v>
      </c>
      <c r="D20" s="6">
        <v>2516</v>
      </c>
      <c r="E20" s="6">
        <v>2666</v>
      </c>
      <c r="F20" s="7">
        <f t="shared" si="0"/>
        <v>-6671</v>
      </c>
    </row>
    <row r="21" spans="1:9" ht="18" x14ac:dyDescent="0.4">
      <c r="A21" s="4" t="s">
        <v>98</v>
      </c>
      <c r="B21" s="1" t="s">
        <v>99</v>
      </c>
      <c r="C21" s="5">
        <v>2410926227</v>
      </c>
      <c r="D21" s="6">
        <v>2516</v>
      </c>
      <c r="E21" s="6">
        <v>0</v>
      </c>
      <c r="F21" s="7">
        <f t="shared" si="0"/>
        <v>-4155</v>
      </c>
    </row>
    <row r="22" spans="1:9" ht="18" x14ac:dyDescent="0.4">
      <c r="A22" s="4" t="s">
        <v>98</v>
      </c>
      <c r="B22" s="1" t="s">
        <v>99</v>
      </c>
      <c r="C22" s="5">
        <v>2410926228</v>
      </c>
      <c r="D22" s="6">
        <v>2516</v>
      </c>
      <c r="E22" s="6">
        <v>0</v>
      </c>
      <c r="F22" s="7">
        <f t="shared" si="0"/>
        <v>-1639</v>
      </c>
    </row>
    <row r="23" spans="1:9" ht="18" x14ac:dyDescent="0.4">
      <c r="A23" s="4" t="s">
        <v>98</v>
      </c>
      <c r="B23" s="1" t="s">
        <v>99</v>
      </c>
      <c r="C23" s="5">
        <v>2410926229</v>
      </c>
      <c r="D23" s="6">
        <v>2516</v>
      </c>
      <c r="E23" s="6">
        <v>7998</v>
      </c>
      <c r="F23" s="7">
        <f t="shared" si="0"/>
        <v>-7121</v>
      </c>
    </row>
    <row r="24" spans="1:9" ht="18" x14ac:dyDescent="0.4">
      <c r="A24" s="4" t="s">
        <v>98</v>
      </c>
      <c r="B24" s="1" t="s">
        <v>100</v>
      </c>
      <c r="C24" s="5">
        <v>2410928277</v>
      </c>
      <c r="D24" s="6">
        <v>3611</v>
      </c>
      <c r="E24" s="6">
        <v>8765</v>
      </c>
      <c r="F24" s="7">
        <f t="shared" si="0"/>
        <v>-12275</v>
      </c>
    </row>
    <row r="25" spans="1:9" ht="18" x14ac:dyDescent="0.4">
      <c r="A25" s="4" t="s">
        <v>98</v>
      </c>
      <c r="B25" s="1" t="s">
        <v>101</v>
      </c>
      <c r="C25" s="5">
        <v>2410928344</v>
      </c>
      <c r="D25" s="6">
        <v>2427</v>
      </c>
      <c r="E25" s="6">
        <v>0</v>
      </c>
      <c r="F25" s="7">
        <f t="shared" si="0"/>
        <v>-9848</v>
      </c>
    </row>
    <row r="26" spans="1:9" ht="18" x14ac:dyDescent="0.4">
      <c r="A26" s="4" t="s">
        <v>98</v>
      </c>
      <c r="B26" s="1" t="s">
        <v>101</v>
      </c>
      <c r="C26" s="5">
        <v>2410928345</v>
      </c>
      <c r="D26" s="6">
        <v>2427</v>
      </c>
      <c r="E26" s="6">
        <v>0</v>
      </c>
      <c r="F26" s="7">
        <f t="shared" si="0"/>
        <v>-7421</v>
      </c>
    </row>
    <row r="27" spans="1:9" ht="18" x14ac:dyDescent="0.4">
      <c r="A27" s="4" t="s">
        <v>103</v>
      </c>
      <c r="B27" s="1" t="s">
        <v>104</v>
      </c>
      <c r="C27" s="5">
        <v>2410933798</v>
      </c>
      <c r="D27" s="6">
        <v>3127</v>
      </c>
      <c r="E27" s="6">
        <v>0</v>
      </c>
      <c r="F27" s="7">
        <f t="shared" si="0"/>
        <v>-4294</v>
      </c>
      <c r="H27" s="11" t="s">
        <v>106</v>
      </c>
    </row>
    <row r="28" spans="1:9" ht="18" x14ac:dyDescent="0.4">
      <c r="A28" s="4" t="s">
        <v>103</v>
      </c>
      <c r="B28" s="1" t="s">
        <v>108</v>
      </c>
      <c r="C28" s="5">
        <v>2410935159</v>
      </c>
      <c r="D28" s="6">
        <v>3127</v>
      </c>
      <c r="E28" s="6">
        <v>0</v>
      </c>
      <c r="F28" s="7">
        <f t="shared" si="0"/>
        <v>-1167</v>
      </c>
      <c r="H28" s="11" t="s">
        <v>106</v>
      </c>
    </row>
    <row r="29" spans="1:9" ht="18" x14ac:dyDescent="0.4">
      <c r="A29" s="4" t="s">
        <v>103</v>
      </c>
      <c r="B29" s="1" t="s">
        <v>105</v>
      </c>
      <c r="C29" s="5">
        <v>2410933789</v>
      </c>
      <c r="D29" s="6">
        <v>4107</v>
      </c>
      <c r="E29" s="6">
        <v>616</v>
      </c>
      <c r="F29" s="7">
        <f t="shared" si="0"/>
        <v>2324</v>
      </c>
      <c r="H29" s="11" t="s">
        <v>106</v>
      </c>
    </row>
    <row r="30" spans="1:9" ht="18" x14ac:dyDescent="0.4">
      <c r="A30" s="4" t="s">
        <v>103</v>
      </c>
      <c r="B30" s="1" t="s">
        <v>107</v>
      </c>
      <c r="C30" s="5">
        <v>2410935154</v>
      </c>
      <c r="D30" s="6">
        <v>1850</v>
      </c>
      <c r="E30" s="6">
        <v>3800</v>
      </c>
      <c r="F30" s="7">
        <f t="shared" si="0"/>
        <v>374</v>
      </c>
    </row>
    <row r="31" spans="1:9" ht="18" x14ac:dyDescent="0.4">
      <c r="A31" s="4" t="s">
        <v>103</v>
      </c>
      <c r="B31" s="1" t="s">
        <v>107</v>
      </c>
      <c r="C31" s="5">
        <v>2410935155</v>
      </c>
      <c r="D31" s="6">
        <v>1850</v>
      </c>
      <c r="E31" s="6">
        <v>0</v>
      </c>
      <c r="F31" s="7">
        <f t="shared" si="0"/>
        <v>2224</v>
      </c>
    </row>
    <row r="32" spans="1:9" ht="18" x14ac:dyDescent="0.4">
      <c r="A32" s="4" t="s">
        <v>109</v>
      </c>
      <c r="B32" s="1" t="s">
        <v>110</v>
      </c>
      <c r="C32" s="5">
        <v>2410938311</v>
      </c>
      <c r="D32" s="6">
        <v>0</v>
      </c>
      <c r="E32" s="6">
        <v>0</v>
      </c>
      <c r="F32" s="7">
        <f t="shared" si="0"/>
        <v>2224</v>
      </c>
      <c r="G32" t="s">
        <v>111</v>
      </c>
      <c r="H32" s="11" t="s">
        <v>102</v>
      </c>
    </row>
    <row r="33" spans="1:8" ht="18" x14ac:dyDescent="0.4">
      <c r="A33" s="4" t="s">
        <v>112</v>
      </c>
      <c r="B33" s="1" t="s">
        <v>113</v>
      </c>
      <c r="C33" s="5">
        <v>2410940163</v>
      </c>
      <c r="D33" s="6">
        <v>524</v>
      </c>
      <c r="E33" s="6">
        <v>0</v>
      </c>
      <c r="F33" s="7">
        <f t="shared" si="0"/>
        <v>2748</v>
      </c>
    </row>
    <row r="34" spans="1:8" ht="18" x14ac:dyDescent="0.4">
      <c r="A34" s="4" t="s">
        <v>112</v>
      </c>
      <c r="B34" s="1" t="s">
        <v>114</v>
      </c>
      <c r="C34" s="5">
        <v>2410940786</v>
      </c>
      <c r="D34" s="6">
        <v>2376</v>
      </c>
      <c r="E34" s="6">
        <v>2476</v>
      </c>
      <c r="F34" s="7">
        <f t="shared" si="0"/>
        <v>2648</v>
      </c>
    </row>
    <row r="35" spans="1:8" ht="18" x14ac:dyDescent="0.4">
      <c r="A35" s="4" t="s">
        <v>115</v>
      </c>
      <c r="B35" s="1" t="s">
        <v>116</v>
      </c>
      <c r="C35" s="5">
        <v>2410943284</v>
      </c>
      <c r="D35" s="6">
        <v>2292</v>
      </c>
      <c r="E35" s="6">
        <v>4784</v>
      </c>
      <c r="F35" s="7">
        <f t="shared" si="0"/>
        <v>156</v>
      </c>
    </row>
    <row r="36" spans="1:8" ht="18" x14ac:dyDescent="0.4">
      <c r="A36" s="4" t="s">
        <v>115</v>
      </c>
      <c r="B36" s="1" t="s">
        <v>116</v>
      </c>
      <c r="C36" s="5">
        <v>2410943277</v>
      </c>
      <c r="D36" s="6">
        <v>2292</v>
      </c>
      <c r="E36" s="6">
        <v>0</v>
      </c>
      <c r="F36" s="7">
        <f t="shared" si="0"/>
        <v>2448</v>
      </c>
    </row>
    <row r="37" spans="1:8" ht="18" x14ac:dyDescent="0.4">
      <c r="A37" s="4" t="s">
        <v>115</v>
      </c>
      <c r="B37" s="1" t="s">
        <v>117</v>
      </c>
      <c r="C37" s="5">
        <v>2410942994</v>
      </c>
      <c r="D37" s="6">
        <v>1504</v>
      </c>
      <c r="E37" s="6">
        <v>4000</v>
      </c>
      <c r="F37" s="7">
        <f t="shared" si="0"/>
        <v>-48</v>
      </c>
      <c r="H37" t="s">
        <v>91</v>
      </c>
    </row>
    <row r="38" spans="1:8" ht="18" x14ac:dyDescent="0.4">
      <c r="A38" s="4" t="s">
        <v>115</v>
      </c>
      <c r="B38" s="1" t="s">
        <v>118</v>
      </c>
      <c r="C38" s="5">
        <v>2410942995</v>
      </c>
      <c r="D38" s="6">
        <v>1504</v>
      </c>
      <c r="E38" s="6">
        <v>0</v>
      </c>
      <c r="F38" s="7">
        <f t="shared" si="0"/>
        <v>1456</v>
      </c>
      <c r="H38" t="s">
        <v>91</v>
      </c>
    </row>
    <row r="39" spans="1:8" ht="18" x14ac:dyDescent="0.4">
      <c r="A39" s="4" t="s">
        <v>115</v>
      </c>
      <c r="B39" s="1" t="s">
        <v>119</v>
      </c>
      <c r="C39" s="5">
        <v>2410943261</v>
      </c>
      <c r="D39" s="6">
        <v>1504</v>
      </c>
      <c r="E39" s="6">
        <v>0</v>
      </c>
      <c r="F39" s="7">
        <f t="shared" si="0"/>
        <v>2960</v>
      </c>
      <c r="H39" t="s">
        <v>91</v>
      </c>
    </row>
    <row r="40" spans="1:8" ht="18" x14ac:dyDescent="0.4">
      <c r="A40" s="4" t="s">
        <v>115</v>
      </c>
      <c r="B40" s="1" t="s">
        <v>119</v>
      </c>
      <c r="C40" s="5">
        <v>2410943253</v>
      </c>
      <c r="D40" s="6">
        <v>1504</v>
      </c>
      <c r="E40" s="6">
        <v>0</v>
      </c>
      <c r="F40" s="7">
        <f t="shared" si="0"/>
        <v>4464</v>
      </c>
      <c r="H40" t="s">
        <v>91</v>
      </c>
    </row>
    <row r="41" spans="1:8" ht="18" x14ac:dyDescent="0.4">
      <c r="A41" s="4" t="s">
        <v>115</v>
      </c>
      <c r="B41" s="1" t="s">
        <v>119</v>
      </c>
      <c r="C41" s="5">
        <v>2410943259</v>
      </c>
      <c r="D41" s="6">
        <v>1504</v>
      </c>
      <c r="E41" s="6">
        <v>0</v>
      </c>
      <c r="F41" s="7">
        <f t="shared" si="0"/>
        <v>5968</v>
      </c>
      <c r="H41" t="s">
        <v>91</v>
      </c>
    </row>
    <row r="42" spans="1:8" ht="18" x14ac:dyDescent="0.4">
      <c r="A42" s="4" t="s">
        <v>120</v>
      </c>
      <c r="B42" s="1" t="s">
        <v>121</v>
      </c>
      <c r="C42" s="5">
        <v>2410946986</v>
      </c>
      <c r="D42" s="6">
        <v>2347</v>
      </c>
      <c r="E42" s="6">
        <v>4236</v>
      </c>
      <c r="F42" s="7">
        <f t="shared" si="0"/>
        <v>4079</v>
      </c>
    </row>
    <row r="43" spans="1:8" ht="18" x14ac:dyDescent="0.4">
      <c r="A43" s="4" t="s">
        <v>120</v>
      </c>
      <c r="B43" s="1" t="s">
        <v>121</v>
      </c>
      <c r="C43" s="5">
        <v>2410946986</v>
      </c>
      <c r="D43" s="6">
        <v>1889</v>
      </c>
      <c r="E43" s="6">
        <v>0</v>
      </c>
      <c r="F43" s="7">
        <f t="shared" si="0"/>
        <v>5968</v>
      </c>
    </row>
    <row r="44" spans="1:8" ht="18" x14ac:dyDescent="0.4">
      <c r="A44" s="4" t="s">
        <v>122</v>
      </c>
      <c r="B44" s="1" t="s">
        <v>123</v>
      </c>
      <c r="C44" s="5">
        <v>2410947157</v>
      </c>
      <c r="D44" s="6">
        <v>1239</v>
      </c>
      <c r="E44" s="6">
        <v>1339</v>
      </c>
      <c r="F44" s="7">
        <f t="shared" si="0"/>
        <v>5868</v>
      </c>
    </row>
    <row r="45" spans="1:8" ht="18" x14ac:dyDescent="0.4">
      <c r="A45" s="18" t="s">
        <v>124</v>
      </c>
      <c r="B45" s="19" t="s">
        <v>125</v>
      </c>
      <c r="C45" s="8">
        <v>2410950082</v>
      </c>
      <c r="D45" s="6">
        <v>1239</v>
      </c>
      <c r="E45" s="6">
        <v>0</v>
      </c>
      <c r="F45" s="20">
        <f t="shared" si="0"/>
        <v>7107</v>
      </c>
      <c r="G45" t="s">
        <v>126</v>
      </c>
    </row>
    <row r="46" spans="1:8" ht="18" x14ac:dyDescent="0.4">
      <c r="A46" s="21" t="s">
        <v>124</v>
      </c>
      <c r="B46" s="1" t="s">
        <v>127</v>
      </c>
      <c r="C46" s="5">
        <v>2410951149</v>
      </c>
      <c r="D46" s="6">
        <v>752</v>
      </c>
      <c r="E46" s="6">
        <v>6000</v>
      </c>
      <c r="F46" s="7">
        <f t="shared" si="0"/>
        <v>1859</v>
      </c>
      <c r="G46" t="s">
        <v>138</v>
      </c>
      <c r="H46" t="s">
        <v>134</v>
      </c>
    </row>
    <row r="47" spans="1:8" ht="18" x14ac:dyDescent="0.4">
      <c r="A47" s="21" t="s">
        <v>124</v>
      </c>
      <c r="B47" s="1" t="s">
        <v>128</v>
      </c>
      <c r="C47" s="5">
        <v>2410950552</v>
      </c>
      <c r="D47" s="6">
        <v>377</v>
      </c>
      <c r="E47" s="6">
        <v>0</v>
      </c>
      <c r="F47" s="7">
        <f t="shared" si="0"/>
        <v>2236</v>
      </c>
      <c r="H47" t="s">
        <v>134</v>
      </c>
    </row>
    <row r="48" spans="1:8" ht="18" x14ac:dyDescent="0.4">
      <c r="A48" s="21" t="s">
        <v>124</v>
      </c>
      <c r="B48" s="1" t="s">
        <v>129</v>
      </c>
      <c r="C48" s="5">
        <v>2410950561</v>
      </c>
      <c r="D48" s="6">
        <v>377</v>
      </c>
      <c r="E48" s="6">
        <v>0</v>
      </c>
      <c r="F48" s="7">
        <f t="shared" si="0"/>
        <v>2613</v>
      </c>
      <c r="H48" t="s">
        <v>134</v>
      </c>
    </row>
    <row r="49" spans="1:8" ht="18" x14ac:dyDescent="0.4">
      <c r="A49" s="21" t="s">
        <v>124</v>
      </c>
      <c r="B49" s="1" t="s">
        <v>130</v>
      </c>
      <c r="C49" s="5">
        <v>2410951238</v>
      </c>
      <c r="D49" s="6">
        <v>377</v>
      </c>
      <c r="E49" s="6">
        <v>0</v>
      </c>
      <c r="F49" s="7">
        <f t="shared" si="0"/>
        <v>2990</v>
      </c>
      <c r="H49" t="s">
        <v>134</v>
      </c>
    </row>
    <row r="50" spans="1:8" ht="18" x14ac:dyDescent="0.4">
      <c r="A50" s="21" t="s">
        <v>124</v>
      </c>
      <c r="B50" s="1" t="s">
        <v>131</v>
      </c>
      <c r="C50" s="5">
        <v>2410951298</v>
      </c>
      <c r="D50" s="6">
        <v>377</v>
      </c>
      <c r="E50" s="6">
        <v>0</v>
      </c>
      <c r="F50" s="7">
        <f t="shared" si="0"/>
        <v>3367</v>
      </c>
      <c r="H50" t="s">
        <v>134</v>
      </c>
    </row>
    <row r="51" spans="1:8" ht="18" x14ac:dyDescent="0.4">
      <c r="A51" s="21" t="s">
        <v>124</v>
      </c>
      <c r="B51" s="1" t="s">
        <v>131</v>
      </c>
      <c r="C51" s="5">
        <v>2410951299</v>
      </c>
      <c r="D51" s="6">
        <v>377</v>
      </c>
      <c r="E51" s="6">
        <v>0</v>
      </c>
      <c r="F51" s="7">
        <f t="shared" si="0"/>
        <v>3744</v>
      </c>
      <c r="H51" t="s">
        <v>134</v>
      </c>
    </row>
    <row r="52" spans="1:8" ht="18" x14ac:dyDescent="0.4">
      <c r="A52" s="21" t="s">
        <v>124</v>
      </c>
      <c r="B52" s="1" t="s">
        <v>131</v>
      </c>
      <c r="C52" s="5">
        <v>2410951300</v>
      </c>
      <c r="D52" s="6">
        <v>377</v>
      </c>
      <c r="E52" s="6">
        <v>0</v>
      </c>
      <c r="F52" s="7">
        <f t="shared" si="0"/>
        <v>4121</v>
      </c>
      <c r="H52" t="s">
        <v>134</v>
      </c>
    </row>
    <row r="53" spans="1:8" ht="18" x14ac:dyDescent="0.4">
      <c r="A53" s="21" t="s">
        <v>124</v>
      </c>
      <c r="B53" s="1" t="s">
        <v>131</v>
      </c>
      <c r="C53" s="5">
        <v>2410951301</v>
      </c>
      <c r="D53" s="6">
        <v>377</v>
      </c>
      <c r="E53" s="6">
        <v>0</v>
      </c>
      <c r="F53" s="7">
        <f t="shared" si="0"/>
        <v>4498</v>
      </c>
      <c r="H53" t="s">
        <v>134</v>
      </c>
    </row>
    <row r="54" spans="1:8" ht="18" x14ac:dyDescent="0.4">
      <c r="A54" s="21" t="s">
        <v>124</v>
      </c>
      <c r="B54" s="1" t="s">
        <v>131</v>
      </c>
      <c r="C54" s="5">
        <v>2410951302</v>
      </c>
      <c r="D54" s="6">
        <v>377</v>
      </c>
      <c r="E54" s="6">
        <v>0</v>
      </c>
      <c r="F54" s="7">
        <f t="shared" si="0"/>
        <v>4875</v>
      </c>
      <c r="H54" t="s">
        <v>134</v>
      </c>
    </row>
    <row r="55" spans="1:8" ht="18" x14ac:dyDescent="0.4">
      <c r="A55" s="4" t="s">
        <v>124</v>
      </c>
      <c r="B55" s="1" t="s">
        <v>131</v>
      </c>
      <c r="C55" s="5">
        <v>2410951303</v>
      </c>
      <c r="D55" s="6">
        <v>377</v>
      </c>
      <c r="E55" s="6"/>
      <c r="F55" s="7">
        <f t="shared" si="0"/>
        <v>5252</v>
      </c>
      <c r="H55" t="s">
        <v>134</v>
      </c>
    </row>
    <row r="56" spans="1:8" ht="18" x14ac:dyDescent="0.4">
      <c r="A56" s="4" t="s">
        <v>132</v>
      </c>
      <c r="B56" s="1" t="s">
        <v>133</v>
      </c>
      <c r="C56" s="5">
        <v>2410952165</v>
      </c>
      <c r="D56" s="6">
        <v>1239</v>
      </c>
      <c r="E56" s="6">
        <v>1340</v>
      </c>
      <c r="F56" s="7">
        <f t="shared" si="0"/>
        <v>5151</v>
      </c>
    </row>
    <row r="57" spans="1:8" ht="18" x14ac:dyDescent="0.4">
      <c r="A57" s="4" t="s">
        <v>138</v>
      </c>
      <c r="B57" s="1" t="s">
        <v>114</v>
      </c>
      <c r="C57" s="5">
        <v>2410953678</v>
      </c>
      <c r="D57" s="6">
        <v>407</v>
      </c>
      <c r="E57" s="6">
        <v>407</v>
      </c>
      <c r="F57" s="7">
        <f t="shared" si="0"/>
        <v>5151</v>
      </c>
    </row>
    <row r="58" spans="1:8" ht="18" x14ac:dyDescent="0.4">
      <c r="A58" s="4" t="s">
        <v>139</v>
      </c>
      <c r="B58" s="1" t="s">
        <v>105</v>
      </c>
      <c r="C58" s="5">
        <v>2410954858</v>
      </c>
      <c r="D58" s="6">
        <v>396</v>
      </c>
      <c r="E58" s="6">
        <v>3842</v>
      </c>
      <c r="F58" s="7">
        <f t="shared" si="0"/>
        <v>1705</v>
      </c>
      <c r="H58" s="11" t="s">
        <v>106</v>
      </c>
    </row>
    <row r="59" spans="1:8" ht="18" x14ac:dyDescent="0.4">
      <c r="A59" s="4" t="s">
        <v>139</v>
      </c>
      <c r="B59" s="1" t="s">
        <v>104</v>
      </c>
      <c r="C59" s="5">
        <v>2410954885</v>
      </c>
      <c r="D59" s="6">
        <v>396</v>
      </c>
      <c r="E59" s="6">
        <v>0</v>
      </c>
      <c r="F59" s="7">
        <f t="shared" si="0"/>
        <v>2101</v>
      </c>
      <c r="H59" s="11" t="s">
        <v>106</v>
      </c>
    </row>
    <row r="60" spans="1:8" ht="18" x14ac:dyDescent="0.4">
      <c r="A60" s="4" t="s">
        <v>139</v>
      </c>
      <c r="B60" s="1" t="s">
        <v>140</v>
      </c>
      <c r="C60" s="5">
        <v>2410954874</v>
      </c>
      <c r="D60" s="6">
        <v>0</v>
      </c>
      <c r="E60" s="6">
        <v>0</v>
      </c>
      <c r="F60" s="7">
        <f t="shared" si="0"/>
        <v>2101</v>
      </c>
      <c r="H60" s="11" t="s">
        <v>106</v>
      </c>
    </row>
    <row r="61" spans="1:8" ht="18" x14ac:dyDescent="0.4">
      <c r="A61" s="4" t="s">
        <v>139</v>
      </c>
      <c r="B61" s="1" t="s">
        <v>141</v>
      </c>
      <c r="C61" s="5">
        <v>659155645250</v>
      </c>
      <c r="D61" s="6">
        <v>920</v>
      </c>
      <c r="E61" s="6">
        <v>0</v>
      </c>
      <c r="F61" s="7">
        <f t="shared" si="0"/>
        <v>3021</v>
      </c>
      <c r="H61" s="11" t="s">
        <v>106</v>
      </c>
    </row>
    <row r="62" spans="1:8" ht="18" x14ac:dyDescent="0.4">
      <c r="A62" s="4" t="s">
        <v>139</v>
      </c>
      <c r="B62" s="1" t="s">
        <v>141</v>
      </c>
      <c r="C62" s="5">
        <v>659155645251</v>
      </c>
      <c r="D62" s="6">
        <v>920</v>
      </c>
      <c r="E62" s="6">
        <v>0</v>
      </c>
      <c r="F62" s="7">
        <f t="shared" si="0"/>
        <v>3941</v>
      </c>
      <c r="H62" s="11" t="s">
        <v>106</v>
      </c>
    </row>
    <row r="63" spans="1:8" ht="18" x14ac:dyDescent="0.4">
      <c r="A63" s="4" t="s">
        <v>139</v>
      </c>
      <c r="B63" s="1" t="s">
        <v>141</v>
      </c>
      <c r="C63" s="5">
        <v>659155645252</v>
      </c>
      <c r="D63" s="6">
        <v>920</v>
      </c>
      <c r="E63" s="6">
        <v>0</v>
      </c>
      <c r="F63" s="7">
        <f t="shared" si="0"/>
        <v>4861</v>
      </c>
      <c r="H63" s="11" t="s">
        <v>106</v>
      </c>
    </row>
    <row r="64" spans="1:8" ht="18" x14ac:dyDescent="0.4">
      <c r="A64" s="36" t="s">
        <v>143</v>
      </c>
      <c r="B64" s="37"/>
      <c r="C64" s="38"/>
      <c r="D64" s="6">
        <f>SUM(D2:D63)</f>
        <v>78473</v>
      </c>
      <c r="E64" s="6">
        <f>SUM(E2:E63)</f>
        <v>73612</v>
      </c>
      <c r="F64" s="7">
        <f t="shared" ref="F64" si="1">D64-E64</f>
        <v>4861</v>
      </c>
    </row>
  </sheetData>
  <mergeCells count="1">
    <mergeCell ref="A64:C64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C4F9-B53A-474E-B3AD-84E5B4FAB2B6}">
  <dimension ref="A1:I80"/>
  <sheetViews>
    <sheetView rightToLeft="1" topLeftCell="A43" workbookViewId="0">
      <selection activeCell="C60" sqref="C60"/>
    </sheetView>
  </sheetViews>
  <sheetFormatPr defaultRowHeight="14" x14ac:dyDescent="0.3"/>
  <cols>
    <col min="1" max="1" width="13" bestFit="1" customWidth="1"/>
    <col min="2" max="2" width="10.33203125" bestFit="1" customWidth="1"/>
    <col min="3" max="3" width="15.6640625" bestFit="1" customWidth="1"/>
    <col min="4" max="5" width="13.1640625" bestFit="1" customWidth="1"/>
    <col min="6" max="6" width="17.58203125" customWidth="1"/>
    <col min="7" max="7" width="16.75" bestFit="1" customWidth="1"/>
    <col min="9" max="9" width="14.58203125" bestFit="1" customWidth="1"/>
  </cols>
  <sheetData>
    <row r="1" spans="1:9" ht="18" x14ac:dyDescent="0.4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</row>
    <row r="2" spans="1:9" ht="18" x14ac:dyDescent="0.4">
      <c r="A2" s="4">
        <v>44937</v>
      </c>
      <c r="B2" s="1"/>
      <c r="C2" s="5" t="s">
        <v>144</v>
      </c>
      <c r="D2" s="6">
        <v>4861</v>
      </c>
      <c r="E2" s="6">
        <v>0</v>
      </c>
      <c r="F2" s="7">
        <f>D2-E2</f>
        <v>4861</v>
      </c>
    </row>
    <row r="3" spans="1:9" ht="18" x14ac:dyDescent="0.4">
      <c r="A3" s="4">
        <v>44937</v>
      </c>
      <c r="B3" s="1" t="s">
        <v>145</v>
      </c>
      <c r="C3" s="5">
        <v>2410960541</v>
      </c>
      <c r="D3" s="6">
        <v>752</v>
      </c>
      <c r="E3" s="6">
        <v>0</v>
      </c>
      <c r="F3" s="7">
        <f>F2+D3-E3</f>
        <v>5613</v>
      </c>
      <c r="I3" t="s">
        <v>150</v>
      </c>
    </row>
    <row r="4" spans="1:9" ht="18" x14ac:dyDescent="0.4">
      <c r="A4" s="4">
        <v>44937</v>
      </c>
      <c r="B4" s="1" t="s">
        <v>146</v>
      </c>
      <c r="C4" s="5">
        <v>2410960506</v>
      </c>
      <c r="D4" s="6">
        <v>752</v>
      </c>
      <c r="E4" s="6">
        <v>0</v>
      </c>
      <c r="F4" s="7">
        <f t="shared" ref="F4:F79" si="0">F3+D4-E4</f>
        <v>6365</v>
      </c>
      <c r="I4" t="s">
        <v>150</v>
      </c>
    </row>
    <row r="5" spans="1:9" ht="18" x14ac:dyDescent="0.4">
      <c r="A5" s="4">
        <v>44937</v>
      </c>
      <c r="B5" s="1" t="s">
        <v>146</v>
      </c>
      <c r="C5" s="5">
        <v>2410960507</v>
      </c>
      <c r="D5" s="6">
        <v>752</v>
      </c>
      <c r="E5" s="6">
        <v>0</v>
      </c>
      <c r="F5" s="7">
        <f t="shared" si="0"/>
        <v>7117</v>
      </c>
      <c r="I5" t="s">
        <v>150</v>
      </c>
    </row>
    <row r="6" spans="1:9" ht="18" x14ac:dyDescent="0.4">
      <c r="A6" s="4">
        <v>44937</v>
      </c>
      <c r="B6" s="1" t="s">
        <v>146</v>
      </c>
      <c r="C6" s="5">
        <v>2410960508</v>
      </c>
      <c r="D6" s="6">
        <v>752</v>
      </c>
      <c r="E6" s="6">
        <v>0</v>
      </c>
      <c r="F6" s="7">
        <f t="shared" si="0"/>
        <v>7869</v>
      </c>
      <c r="I6" t="s">
        <v>150</v>
      </c>
    </row>
    <row r="7" spans="1:9" ht="18" x14ac:dyDescent="0.4">
      <c r="A7" s="4">
        <v>44937</v>
      </c>
      <c r="B7" s="1" t="s">
        <v>146</v>
      </c>
      <c r="C7" s="5">
        <v>2410960509</v>
      </c>
      <c r="D7" s="6">
        <v>752</v>
      </c>
      <c r="E7" s="6">
        <v>0</v>
      </c>
      <c r="F7" s="7">
        <f t="shared" si="0"/>
        <v>8621</v>
      </c>
      <c r="I7" t="s">
        <v>150</v>
      </c>
    </row>
    <row r="8" spans="1:9" ht="18" x14ac:dyDescent="0.4">
      <c r="A8" s="4">
        <v>44937</v>
      </c>
      <c r="B8" s="1" t="s">
        <v>147</v>
      </c>
      <c r="C8" s="5">
        <v>2410961866</v>
      </c>
      <c r="D8" s="6">
        <v>565</v>
      </c>
      <c r="E8" s="6">
        <v>0</v>
      </c>
      <c r="F8" s="7">
        <f t="shared" si="0"/>
        <v>9186</v>
      </c>
      <c r="I8" t="s">
        <v>151</v>
      </c>
    </row>
    <row r="9" spans="1:9" ht="18" x14ac:dyDescent="0.4">
      <c r="A9" s="4">
        <v>44937</v>
      </c>
      <c r="B9" s="1" t="s">
        <v>147</v>
      </c>
      <c r="C9" s="5">
        <v>2410961867</v>
      </c>
      <c r="D9" s="6">
        <v>565</v>
      </c>
      <c r="E9" s="6">
        <v>0</v>
      </c>
      <c r="F9" s="7">
        <f t="shared" si="0"/>
        <v>9751</v>
      </c>
      <c r="I9" t="s">
        <v>151</v>
      </c>
    </row>
    <row r="10" spans="1:9" ht="18" x14ac:dyDescent="0.4">
      <c r="A10" s="4">
        <v>44937</v>
      </c>
      <c r="B10" s="1" t="s">
        <v>147</v>
      </c>
      <c r="C10" s="5">
        <v>2410961868</v>
      </c>
      <c r="D10" s="6">
        <v>440</v>
      </c>
      <c r="E10" s="6">
        <v>0</v>
      </c>
      <c r="F10" s="7">
        <f t="shared" si="0"/>
        <v>10191</v>
      </c>
      <c r="I10" t="s">
        <v>151</v>
      </c>
    </row>
    <row r="11" spans="1:9" ht="18" x14ac:dyDescent="0.4">
      <c r="A11" s="4">
        <v>44937</v>
      </c>
      <c r="B11" s="1" t="s">
        <v>147</v>
      </c>
      <c r="C11" s="5">
        <v>2410961869</v>
      </c>
      <c r="D11" s="6">
        <v>440</v>
      </c>
      <c r="E11" s="6">
        <v>0</v>
      </c>
      <c r="F11" s="7">
        <f t="shared" si="0"/>
        <v>10631</v>
      </c>
      <c r="I11" t="s">
        <v>151</v>
      </c>
    </row>
    <row r="12" spans="1:9" ht="18" x14ac:dyDescent="0.4">
      <c r="A12" s="4">
        <v>44937</v>
      </c>
      <c r="B12" s="1"/>
      <c r="C12" s="8" t="s">
        <v>148</v>
      </c>
      <c r="D12" s="6">
        <v>0</v>
      </c>
      <c r="E12" s="10">
        <v>2727.6</v>
      </c>
      <c r="F12" s="7">
        <f t="shared" si="0"/>
        <v>7903.4</v>
      </c>
      <c r="G12" s="29" t="s">
        <v>149</v>
      </c>
    </row>
    <row r="13" spans="1:9" ht="18" x14ac:dyDescent="0.4">
      <c r="A13" s="4">
        <v>44937</v>
      </c>
      <c r="B13" s="1"/>
      <c r="C13" s="8" t="s">
        <v>148</v>
      </c>
      <c r="D13" s="6">
        <v>0</v>
      </c>
      <c r="E13" s="10">
        <v>4091.4</v>
      </c>
      <c r="F13" s="7">
        <f t="shared" si="0"/>
        <v>3811.9999999999995</v>
      </c>
      <c r="G13" s="29" t="s">
        <v>149</v>
      </c>
    </row>
    <row r="14" spans="1:9" ht="18" x14ac:dyDescent="0.4">
      <c r="A14" s="4">
        <v>44968</v>
      </c>
      <c r="B14" s="1" t="s">
        <v>152</v>
      </c>
      <c r="C14" s="5">
        <v>2410963316</v>
      </c>
      <c r="D14" s="6">
        <v>1467</v>
      </c>
      <c r="E14" s="6">
        <v>1545</v>
      </c>
      <c r="F14" s="7">
        <f t="shared" si="0"/>
        <v>3734</v>
      </c>
    </row>
    <row r="15" spans="1:9" ht="18" x14ac:dyDescent="0.4">
      <c r="A15" s="4">
        <v>44996</v>
      </c>
      <c r="B15" s="1" t="s">
        <v>153</v>
      </c>
      <c r="C15" s="5">
        <v>2410965423</v>
      </c>
      <c r="D15" s="6">
        <v>565</v>
      </c>
      <c r="E15" s="6">
        <v>0</v>
      </c>
      <c r="F15" s="7">
        <f t="shared" si="0"/>
        <v>4299</v>
      </c>
      <c r="I15" t="s">
        <v>175</v>
      </c>
    </row>
    <row r="16" spans="1:9" ht="18" x14ac:dyDescent="0.4">
      <c r="A16" s="4">
        <v>45027</v>
      </c>
      <c r="B16" s="1" t="s">
        <v>125</v>
      </c>
      <c r="C16" s="5">
        <v>2410967012</v>
      </c>
      <c r="D16" s="6">
        <v>746</v>
      </c>
      <c r="E16" s="6">
        <v>2000</v>
      </c>
      <c r="F16" s="7">
        <f t="shared" si="0"/>
        <v>3045</v>
      </c>
      <c r="G16" t="s">
        <v>156</v>
      </c>
      <c r="I16" t="s">
        <v>155</v>
      </c>
    </row>
    <row r="17" spans="1:9" ht="18" x14ac:dyDescent="0.4">
      <c r="A17" s="4">
        <v>45057</v>
      </c>
      <c r="B17" s="1" t="s">
        <v>157</v>
      </c>
      <c r="C17" s="5">
        <v>2410967912</v>
      </c>
      <c r="D17" s="6">
        <v>0</v>
      </c>
      <c r="E17" s="10">
        <v>1602</v>
      </c>
      <c r="F17" s="7">
        <f t="shared" si="0"/>
        <v>1443</v>
      </c>
      <c r="G17" s="11" t="s">
        <v>156</v>
      </c>
      <c r="H17" s="11" t="s">
        <v>158</v>
      </c>
    </row>
    <row r="18" spans="1:9" ht="18" x14ac:dyDescent="0.4">
      <c r="A18" s="4">
        <v>45057</v>
      </c>
      <c r="B18" s="1" t="s">
        <v>159</v>
      </c>
      <c r="C18" s="5">
        <v>2410968810</v>
      </c>
      <c r="D18" s="6">
        <v>3000</v>
      </c>
      <c r="E18" s="6">
        <v>4943</v>
      </c>
      <c r="F18" s="7">
        <f t="shared" si="0"/>
        <v>-500</v>
      </c>
    </row>
    <row r="19" spans="1:9" ht="18" x14ac:dyDescent="0.4">
      <c r="A19" s="4">
        <v>45057</v>
      </c>
      <c r="B19" s="1" t="s">
        <v>160</v>
      </c>
      <c r="C19" s="5">
        <v>2410968810</v>
      </c>
      <c r="D19" s="6">
        <v>1743</v>
      </c>
      <c r="E19" s="6">
        <v>0</v>
      </c>
      <c r="F19" s="7">
        <f t="shared" si="0"/>
        <v>1243</v>
      </c>
    </row>
    <row r="20" spans="1:9" ht="18" x14ac:dyDescent="0.4">
      <c r="A20" s="4">
        <v>45057</v>
      </c>
      <c r="B20" s="1" t="s">
        <v>152</v>
      </c>
      <c r="C20" s="5">
        <v>2410968892</v>
      </c>
      <c r="D20" s="6">
        <v>83</v>
      </c>
      <c r="E20" s="6">
        <v>500</v>
      </c>
      <c r="F20" s="7">
        <f t="shared" si="0"/>
        <v>826</v>
      </c>
    </row>
    <row r="21" spans="1:9" ht="18" x14ac:dyDescent="0.4">
      <c r="A21" s="4">
        <v>45057</v>
      </c>
      <c r="B21" s="1" t="s">
        <v>161</v>
      </c>
      <c r="C21" s="5"/>
      <c r="D21" s="6">
        <v>260</v>
      </c>
      <c r="E21" s="6">
        <v>0</v>
      </c>
      <c r="F21" s="7">
        <f t="shared" si="0"/>
        <v>1086</v>
      </c>
      <c r="G21" s="11" t="s">
        <v>162</v>
      </c>
    </row>
    <row r="22" spans="1:9" ht="18" x14ac:dyDescent="0.4">
      <c r="A22" s="4">
        <v>45210</v>
      </c>
      <c r="B22" s="1" t="s">
        <v>163</v>
      </c>
      <c r="C22" s="5">
        <v>2410977757</v>
      </c>
      <c r="D22" s="6">
        <v>377</v>
      </c>
      <c r="E22" s="6">
        <v>0</v>
      </c>
      <c r="F22" s="7">
        <f t="shared" si="0"/>
        <v>1463</v>
      </c>
      <c r="I22" t="s">
        <v>174</v>
      </c>
    </row>
    <row r="23" spans="1:9" ht="18" x14ac:dyDescent="0.4">
      <c r="A23" s="4">
        <v>45210</v>
      </c>
      <c r="B23" s="1" t="s">
        <v>164</v>
      </c>
      <c r="C23" s="5">
        <v>2410977758</v>
      </c>
      <c r="D23" s="6">
        <v>377</v>
      </c>
      <c r="E23" s="6">
        <v>0</v>
      </c>
      <c r="F23" s="7">
        <f t="shared" si="0"/>
        <v>1840</v>
      </c>
      <c r="I23" t="s">
        <v>174</v>
      </c>
    </row>
    <row r="24" spans="1:9" ht="18" x14ac:dyDescent="0.4">
      <c r="A24" s="4">
        <v>45271</v>
      </c>
      <c r="B24" s="1" t="s">
        <v>165</v>
      </c>
      <c r="C24" s="5">
        <v>2410979795</v>
      </c>
      <c r="D24" s="6">
        <v>377</v>
      </c>
      <c r="E24" s="6">
        <v>0</v>
      </c>
      <c r="F24" s="7">
        <f t="shared" si="0"/>
        <v>2217</v>
      </c>
      <c r="I24" t="s">
        <v>179</v>
      </c>
    </row>
    <row r="25" spans="1:9" ht="18" x14ac:dyDescent="0.4">
      <c r="A25" s="4">
        <v>45271</v>
      </c>
      <c r="B25" s="1" t="s">
        <v>165</v>
      </c>
      <c r="C25" s="5">
        <v>2410979796</v>
      </c>
      <c r="D25" s="6">
        <v>377</v>
      </c>
      <c r="E25" s="6">
        <v>0</v>
      </c>
      <c r="F25" s="7">
        <f t="shared" si="0"/>
        <v>2594</v>
      </c>
      <c r="I25" t="s">
        <v>179</v>
      </c>
    </row>
    <row r="26" spans="1:9" ht="18" x14ac:dyDescent="0.4">
      <c r="A26" s="4">
        <v>45271</v>
      </c>
      <c r="B26" s="1" t="s">
        <v>165</v>
      </c>
      <c r="C26" s="5">
        <v>2410979797</v>
      </c>
      <c r="D26" s="6">
        <v>377</v>
      </c>
      <c r="E26" s="6">
        <v>0</v>
      </c>
      <c r="F26" s="7">
        <f t="shared" si="0"/>
        <v>2971</v>
      </c>
      <c r="I26" t="s">
        <v>179</v>
      </c>
    </row>
    <row r="27" spans="1:9" ht="18" x14ac:dyDescent="0.4">
      <c r="A27" s="4">
        <v>45271</v>
      </c>
      <c r="B27" s="1" t="s">
        <v>165</v>
      </c>
      <c r="C27" s="5">
        <v>2410979798</v>
      </c>
      <c r="D27" s="6">
        <v>377</v>
      </c>
      <c r="E27" s="6">
        <v>0</v>
      </c>
      <c r="F27" s="7">
        <f t="shared" si="0"/>
        <v>3348</v>
      </c>
      <c r="I27" t="s">
        <v>179</v>
      </c>
    </row>
    <row r="28" spans="1:9" ht="18" x14ac:dyDescent="0.4">
      <c r="A28" s="4" t="s">
        <v>166</v>
      </c>
      <c r="B28" s="1" t="s">
        <v>167</v>
      </c>
      <c r="C28" s="5">
        <v>2410987175</v>
      </c>
      <c r="D28" s="6">
        <v>1128</v>
      </c>
      <c r="E28" s="6">
        <v>1225</v>
      </c>
      <c r="F28" s="7">
        <f t="shared" si="0"/>
        <v>3251</v>
      </c>
    </row>
    <row r="29" spans="1:9" ht="18" x14ac:dyDescent="0.4">
      <c r="A29" s="4" t="s">
        <v>168</v>
      </c>
      <c r="B29" s="1" t="s">
        <v>169</v>
      </c>
      <c r="C29" s="5">
        <v>2410987455</v>
      </c>
      <c r="D29" s="6">
        <v>1467</v>
      </c>
      <c r="E29" s="6">
        <v>1567</v>
      </c>
      <c r="F29" s="7">
        <f t="shared" si="0"/>
        <v>3151</v>
      </c>
    </row>
    <row r="30" spans="1:9" ht="18" x14ac:dyDescent="0.4">
      <c r="A30" s="4" t="s">
        <v>168</v>
      </c>
      <c r="B30" s="1" t="s">
        <v>170</v>
      </c>
      <c r="C30" s="5">
        <v>2410987846</v>
      </c>
      <c r="D30" s="6">
        <v>1256</v>
      </c>
      <c r="E30" s="6">
        <v>0</v>
      </c>
      <c r="F30" s="7">
        <f t="shared" si="0"/>
        <v>4407</v>
      </c>
      <c r="I30" t="s">
        <v>179</v>
      </c>
    </row>
    <row r="31" spans="1:9" ht="18" x14ac:dyDescent="0.4">
      <c r="A31" s="4" t="s">
        <v>168</v>
      </c>
      <c r="B31" s="1" t="s">
        <v>170</v>
      </c>
      <c r="C31" s="5">
        <v>2410987847</v>
      </c>
      <c r="D31" s="6">
        <v>1256</v>
      </c>
      <c r="E31" s="6">
        <v>0</v>
      </c>
      <c r="F31" s="7">
        <f t="shared" si="0"/>
        <v>5663</v>
      </c>
      <c r="I31" t="s">
        <v>179</v>
      </c>
    </row>
    <row r="32" spans="1:9" ht="18" x14ac:dyDescent="0.4">
      <c r="A32" s="4" t="s">
        <v>171</v>
      </c>
      <c r="B32" s="1" t="s">
        <v>173</v>
      </c>
      <c r="C32" s="5">
        <v>2410989281</v>
      </c>
      <c r="D32" s="6">
        <v>2025</v>
      </c>
      <c r="E32" s="6">
        <v>19305</v>
      </c>
      <c r="F32" s="7">
        <f t="shared" si="0"/>
        <v>-11617</v>
      </c>
    </row>
    <row r="33" spans="1:9" ht="18" x14ac:dyDescent="0.4">
      <c r="A33" s="4" t="s">
        <v>171</v>
      </c>
      <c r="B33" s="1" t="s">
        <v>176</v>
      </c>
      <c r="C33" s="5">
        <v>2410988980</v>
      </c>
      <c r="D33" s="6">
        <v>2025</v>
      </c>
      <c r="E33" s="6">
        <v>0</v>
      </c>
      <c r="F33" s="7">
        <f t="shared" si="0"/>
        <v>-9592</v>
      </c>
    </row>
    <row r="34" spans="1:9" ht="18" x14ac:dyDescent="0.4">
      <c r="A34" s="4" t="s">
        <v>171</v>
      </c>
      <c r="B34" s="1" t="s">
        <v>176</v>
      </c>
      <c r="C34" s="5">
        <v>2410988981</v>
      </c>
      <c r="D34" s="6">
        <v>2025</v>
      </c>
      <c r="E34" s="6">
        <v>0</v>
      </c>
      <c r="F34" s="7">
        <f t="shared" si="0"/>
        <v>-7567</v>
      </c>
    </row>
    <row r="35" spans="1:9" ht="18" x14ac:dyDescent="0.4">
      <c r="A35" s="4" t="s">
        <v>171</v>
      </c>
      <c r="B35" s="1" t="s">
        <v>176</v>
      </c>
      <c r="C35" s="5">
        <v>2410988982</v>
      </c>
      <c r="D35" s="6">
        <v>2025</v>
      </c>
      <c r="E35" s="6">
        <v>0</v>
      </c>
      <c r="F35" s="7">
        <f t="shared" si="0"/>
        <v>-5542</v>
      </c>
    </row>
    <row r="36" spans="1:9" ht="18" x14ac:dyDescent="0.4">
      <c r="A36" s="4" t="s">
        <v>171</v>
      </c>
      <c r="B36" s="1" t="s">
        <v>176</v>
      </c>
      <c r="C36" s="5">
        <v>2410988979</v>
      </c>
      <c r="D36" s="6">
        <v>2025</v>
      </c>
      <c r="E36" s="6">
        <v>0</v>
      </c>
      <c r="F36" s="7">
        <f t="shared" si="0"/>
        <v>-3517</v>
      </c>
    </row>
    <row r="37" spans="1:9" ht="18" x14ac:dyDescent="0.4">
      <c r="A37" s="4" t="s">
        <v>171</v>
      </c>
      <c r="B37" s="1" t="s">
        <v>176</v>
      </c>
      <c r="C37" s="5">
        <v>2410988977</v>
      </c>
      <c r="D37" s="6">
        <v>0</v>
      </c>
      <c r="E37" s="6">
        <v>0</v>
      </c>
      <c r="F37" s="7">
        <f t="shared" si="0"/>
        <v>-3517</v>
      </c>
      <c r="G37" s="30" t="s">
        <v>111</v>
      </c>
    </row>
    <row r="38" spans="1:9" ht="18" x14ac:dyDescent="0.4">
      <c r="A38" s="4" t="s">
        <v>171</v>
      </c>
      <c r="B38" s="1" t="s">
        <v>176</v>
      </c>
      <c r="C38" s="5">
        <v>2410988984</v>
      </c>
      <c r="D38" s="6">
        <v>2025</v>
      </c>
      <c r="E38" s="6">
        <v>0</v>
      </c>
      <c r="F38" s="7">
        <f t="shared" si="0"/>
        <v>-1492</v>
      </c>
      <c r="G38" s="30"/>
    </row>
    <row r="39" spans="1:9" ht="18" x14ac:dyDescent="0.4">
      <c r="A39" s="4" t="s">
        <v>171</v>
      </c>
      <c r="B39" s="1" t="s">
        <v>176</v>
      </c>
      <c r="C39" s="5">
        <v>2410988978</v>
      </c>
      <c r="D39" s="6">
        <v>2025</v>
      </c>
      <c r="E39" s="6">
        <v>0</v>
      </c>
      <c r="F39" s="7">
        <f t="shared" si="0"/>
        <v>533</v>
      </c>
      <c r="G39" s="30"/>
    </row>
    <row r="40" spans="1:9" ht="18" x14ac:dyDescent="0.4">
      <c r="A40" s="4" t="s">
        <v>171</v>
      </c>
      <c r="B40" s="1" t="s">
        <v>176</v>
      </c>
      <c r="C40" s="5">
        <v>2410988983</v>
      </c>
      <c r="D40" s="6">
        <v>0</v>
      </c>
      <c r="E40" s="6">
        <v>0</v>
      </c>
      <c r="F40" s="7">
        <f t="shared" si="0"/>
        <v>533</v>
      </c>
      <c r="G40" s="30" t="s">
        <v>111</v>
      </c>
    </row>
    <row r="41" spans="1:9" ht="18" x14ac:dyDescent="0.4">
      <c r="A41" s="4" t="s">
        <v>171</v>
      </c>
      <c r="B41" s="1" t="s">
        <v>177</v>
      </c>
      <c r="C41" s="5">
        <v>2410989817</v>
      </c>
      <c r="D41" s="6">
        <v>1539</v>
      </c>
      <c r="E41" s="6">
        <v>3078</v>
      </c>
      <c r="F41" s="7">
        <f t="shared" si="0"/>
        <v>-1006</v>
      </c>
      <c r="G41" s="9" t="s">
        <v>184</v>
      </c>
      <c r="I41" t="s">
        <v>178</v>
      </c>
    </row>
    <row r="42" spans="1:9" ht="18" x14ac:dyDescent="0.4">
      <c r="A42" s="4" t="s">
        <v>171</v>
      </c>
      <c r="B42" s="1" t="s">
        <v>177</v>
      </c>
      <c r="C42" s="5">
        <v>2410989818</v>
      </c>
      <c r="D42" s="6">
        <v>1539</v>
      </c>
      <c r="E42" s="6">
        <v>0</v>
      </c>
      <c r="F42" s="7">
        <f t="shared" si="0"/>
        <v>533</v>
      </c>
    </row>
    <row r="43" spans="1:9" ht="18" x14ac:dyDescent="0.4">
      <c r="A43" s="4" t="s">
        <v>171</v>
      </c>
      <c r="B43" s="1" t="s">
        <v>180</v>
      </c>
      <c r="C43" s="5">
        <v>2410991389</v>
      </c>
      <c r="D43" s="6">
        <v>1574</v>
      </c>
      <c r="E43" s="6">
        <v>1674</v>
      </c>
      <c r="F43" s="7">
        <f t="shared" si="0"/>
        <v>433</v>
      </c>
      <c r="G43" t="s">
        <v>181</v>
      </c>
    </row>
    <row r="44" spans="1:9" ht="18" x14ac:dyDescent="0.4">
      <c r="A44" s="4" t="s">
        <v>182</v>
      </c>
      <c r="B44" s="1" t="s">
        <v>183</v>
      </c>
      <c r="C44" s="5">
        <v>2410995839</v>
      </c>
      <c r="D44" s="6">
        <v>2025</v>
      </c>
      <c r="E44" s="6">
        <v>2025</v>
      </c>
      <c r="F44" s="7">
        <f t="shared" si="0"/>
        <v>433</v>
      </c>
    </row>
    <row r="45" spans="1:9" ht="18" x14ac:dyDescent="0.4">
      <c r="A45" s="4" t="s">
        <v>185</v>
      </c>
      <c r="B45" s="1" t="s">
        <v>186</v>
      </c>
      <c r="C45" s="5">
        <v>2410999768</v>
      </c>
      <c r="D45" s="6">
        <v>1146</v>
      </c>
      <c r="E45" s="6">
        <v>2100</v>
      </c>
      <c r="F45" s="7">
        <f t="shared" si="0"/>
        <v>-521</v>
      </c>
      <c r="G45" t="s">
        <v>233</v>
      </c>
    </row>
    <row r="46" spans="1:9" ht="18" x14ac:dyDescent="0.4">
      <c r="A46" s="4" t="s">
        <v>185</v>
      </c>
      <c r="B46" s="1" t="s">
        <v>186</v>
      </c>
      <c r="C46" s="5">
        <v>2410999767</v>
      </c>
      <c r="D46" s="6">
        <v>1467</v>
      </c>
      <c r="E46" s="6">
        <v>0</v>
      </c>
      <c r="F46" s="7">
        <f t="shared" si="0"/>
        <v>946</v>
      </c>
    </row>
    <row r="47" spans="1:9" ht="18" x14ac:dyDescent="0.4">
      <c r="A47" s="4" t="s">
        <v>187</v>
      </c>
      <c r="B47" s="1">
        <v>360012</v>
      </c>
      <c r="C47" s="5">
        <v>2411000769</v>
      </c>
      <c r="D47" s="6">
        <v>337</v>
      </c>
      <c r="E47" s="6">
        <v>0</v>
      </c>
      <c r="F47" s="7">
        <f t="shared" si="0"/>
        <v>1283</v>
      </c>
      <c r="I47" t="s">
        <v>190</v>
      </c>
    </row>
    <row r="48" spans="1:9" ht="18" x14ac:dyDescent="0.4">
      <c r="A48" s="4" t="s">
        <v>189</v>
      </c>
      <c r="B48" s="1" t="s">
        <v>188</v>
      </c>
      <c r="C48" s="5">
        <v>2411001220</v>
      </c>
      <c r="D48" s="6">
        <v>1602</v>
      </c>
      <c r="E48" s="6">
        <v>3304</v>
      </c>
      <c r="F48" s="7">
        <f t="shared" si="0"/>
        <v>-419</v>
      </c>
    </row>
    <row r="49" spans="1:9" ht="18" x14ac:dyDescent="0.4">
      <c r="A49" s="4" t="s">
        <v>189</v>
      </c>
      <c r="B49" s="1" t="s">
        <v>188</v>
      </c>
      <c r="C49" s="5">
        <v>2411001220</v>
      </c>
      <c r="D49" s="6">
        <v>1602</v>
      </c>
      <c r="E49" s="6">
        <v>0</v>
      </c>
      <c r="F49" s="7">
        <f t="shared" si="0"/>
        <v>1183</v>
      </c>
    </row>
    <row r="50" spans="1:9" ht="18" x14ac:dyDescent="0.4">
      <c r="A50" s="4" t="s">
        <v>191</v>
      </c>
      <c r="B50" s="1">
        <v>360216</v>
      </c>
      <c r="C50" s="5">
        <v>2411003258</v>
      </c>
      <c r="D50" s="6">
        <v>1357</v>
      </c>
      <c r="E50" s="6">
        <v>1350</v>
      </c>
      <c r="F50" s="7">
        <f t="shared" si="0"/>
        <v>1190</v>
      </c>
    </row>
    <row r="51" spans="1:9" ht="18" x14ac:dyDescent="0.4">
      <c r="A51" s="4" t="s">
        <v>192</v>
      </c>
      <c r="B51" s="1" t="s">
        <v>193</v>
      </c>
      <c r="C51" s="5">
        <v>2411009710</v>
      </c>
      <c r="D51" s="6">
        <v>2091</v>
      </c>
      <c r="E51" s="6">
        <v>2100</v>
      </c>
      <c r="F51" s="7">
        <f t="shared" si="0"/>
        <v>1181</v>
      </c>
    </row>
    <row r="52" spans="1:9" ht="18" x14ac:dyDescent="0.4">
      <c r="A52" s="4" t="s">
        <v>192</v>
      </c>
      <c r="B52" s="1" t="s">
        <v>194</v>
      </c>
      <c r="C52" s="5">
        <v>2411010196</v>
      </c>
      <c r="D52" s="6">
        <v>898</v>
      </c>
      <c r="E52" s="6">
        <v>1900</v>
      </c>
      <c r="F52" s="7">
        <f t="shared" si="0"/>
        <v>179</v>
      </c>
      <c r="G52" t="s">
        <v>195</v>
      </c>
    </row>
    <row r="53" spans="1:9" ht="18" x14ac:dyDescent="0.4">
      <c r="A53" s="4" t="s">
        <v>192</v>
      </c>
      <c r="B53" s="1" t="s">
        <v>194</v>
      </c>
      <c r="C53" s="5">
        <v>2411010197</v>
      </c>
      <c r="D53" s="6">
        <v>759</v>
      </c>
      <c r="E53" s="6">
        <v>0</v>
      </c>
      <c r="F53" s="7">
        <f t="shared" si="0"/>
        <v>938</v>
      </c>
    </row>
    <row r="54" spans="1:9" ht="18" x14ac:dyDescent="0.4">
      <c r="A54" s="4" t="s">
        <v>192</v>
      </c>
      <c r="B54" s="1" t="s">
        <v>196</v>
      </c>
      <c r="C54" s="5">
        <v>2411010189</v>
      </c>
      <c r="D54" s="6">
        <v>3541</v>
      </c>
      <c r="E54" s="6">
        <v>3400</v>
      </c>
      <c r="F54" s="7">
        <f t="shared" si="0"/>
        <v>1079</v>
      </c>
      <c r="G54" t="s">
        <v>197</v>
      </c>
    </row>
    <row r="55" spans="1:9" ht="18" x14ac:dyDescent="0.4">
      <c r="A55" s="4" t="s">
        <v>192</v>
      </c>
      <c r="B55" s="1" t="s">
        <v>198</v>
      </c>
      <c r="C55" s="5">
        <v>2411013374</v>
      </c>
      <c r="D55" s="6">
        <v>1256</v>
      </c>
      <c r="E55" s="6">
        <v>0</v>
      </c>
      <c r="F55" s="7">
        <f t="shared" si="0"/>
        <v>2335</v>
      </c>
      <c r="I55" t="s">
        <v>154</v>
      </c>
    </row>
    <row r="56" spans="1:9" ht="18" x14ac:dyDescent="0.4">
      <c r="A56" s="4" t="s">
        <v>199</v>
      </c>
      <c r="B56" s="1" t="s">
        <v>88</v>
      </c>
      <c r="C56" s="5">
        <v>2411013778</v>
      </c>
      <c r="D56" s="6">
        <v>13</v>
      </c>
      <c r="E56" s="6">
        <v>0</v>
      </c>
      <c r="F56" s="7">
        <f t="shared" si="0"/>
        <v>2348</v>
      </c>
    </row>
    <row r="57" spans="1:9" ht="18" x14ac:dyDescent="0.4">
      <c r="A57" s="4" t="s">
        <v>199</v>
      </c>
      <c r="B57" s="1" t="s">
        <v>200</v>
      </c>
      <c r="C57" s="5">
        <v>2411014885</v>
      </c>
      <c r="D57" s="6">
        <v>1743</v>
      </c>
      <c r="E57" s="6">
        <v>1810</v>
      </c>
      <c r="F57" s="7">
        <f t="shared" si="0"/>
        <v>2281</v>
      </c>
      <c r="G57" t="s">
        <v>201</v>
      </c>
    </row>
    <row r="58" spans="1:9" ht="18" x14ac:dyDescent="0.4">
      <c r="A58" s="39" t="s">
        <v>202</v>
      </c>
      <c r="B58" s="40"/>
      <c r="C58" s="41"/>
      <c r="D58" s="15">
        <f>SUM(D2:D57)</f>
        <v>64528</v>
      </c>
      <c r="E58" s="15">
        <f>SUM(E2:E57)</f>
        <v>62247</v>
      </c>
      <c r="F58" s="31">
        <v>2281</v>
      </c>
    </row>
    <row r="59" spans="1:9" ht="18" x14ac:dyDescent="0.4">
      <c r="A59" s="4"/>
      <c r="B59" s="1"/>
      <c r="C59" s="5"/>
      <c r="D59" s="6"/>
      <c r="E59" s="6"/>
      <c r="F59" s="7"/>
    </row>
    <row r="60" spans="1:9" ht="18" x14ac:dyDescent="0.4">
      <c r="A60" s="4"/>
      <c r="B60" s="1"/>
      <c r="C60" s="5"/>
      <c r="D60" s="6"/>
      <c r="E60" s="6"/>
      <c r="F60" s="7"/>
    </row>
    <row r="61" spans="1:9" ht="18" x14ac:dyDescent="0.4">
      <c r="A61" s="4"/>
      <c r="B61" s="1"/>
      <c r="C61" s="5"/>
      <c r="D61" s="6"/>
      <c r="E61" s="6"/>
      <c r="F61" s="7"/>
    </row>
    <row r="62" spans="1:9" ht="18" x14ac:dyDescent="0.4">
      <c r="A62" s="4"/>
      <c r="B62" s="1"/>
      <c r="C62" s="5"/>
      <c r="D62" s="6"/>
      <c r="E62" s="6"/>
      <c r="F62" s="7"/>
    </row>
    <row r="63" spans="1:9" ht="18" x14ac:dyDescent="0.4">
      <c r="A63" s="4"/>
      <c r="B63" s="1"/>
      <c r="C63" s="5"/>
      <c r="D63" s="6"/>
      <c r="E63" s="6"/>
      <c r="F63" s="7"/>
    </row>
    <row r="64" spans="1:9" ht="18" x14ac:dyDescent="0.4">
      <c r="A64" s="4"/>
      <c r="B64" s="1"/>
      <c r="C64" s="5"/>
      <c r="D64" s="6"/>
      <c r="E64" s="6"/>
      <c r="F64" s="7"/>
    </row>
    <row r="65" spans="1:6" ht="18" x14ac:dyDescent="0.4">
      <c r="A65" s="4"/>
      <c r="B65" s="1"/>
      <c r="C65" s="5"/>
      <c r="D65" s="6"/>
      <c r="E65" s="6"/>
      <c r="F65" s="7"/>
    </row>
    <row r="66" spans="1:6" ht="18" x14ac:dyDescent="0.4">
      <c r="A66" s="4"/>
      <c r="B66" s="1"/>
      <c r="C66" s="5"/>
      <c r="D66" s="6"/>
      <c r="E66" s="6"/>
      <c r="F66" s="7"/>
    </row>
    <row r="67" spans="1:6" ht="18" x14ac:dyDescent="0.4">
      <c r="A67" s="4"/>
      <c r="B67" s="1"/>
      <c r="C67" s="5"/>
      <c r="D67" s="6"/>
      <c r="E67" s="6"/>
      <c r="F67" s="7"/>
    </row>
    <row r="68" spans="1:6" ht="18" x14ac:dyDescent="0.4">
      <c r="A68" s="4"/>
      <c r="B68" s="1"/>
      <c r="C68" s="5"/>
      <c r="D68" s="6"/>
      <c r="E68" s="6"/>
      <c r="F68" s="7"/>
    </row>
    <row r="69" spans="1:6" ht="18" x14ac:dyDescent="0.4">
      <c r="A69" s="4"/>
      <c r="B69" s="1"/>
      <c r="C69" s="5"/>
      <c r="D69" s="6"/>
      <c r="E69" s="6"/>
      <c r="F69" s="7"/>
    </row>
    <row r="70" spans="1:6" ht="18" x14ac:dyDescent="0.4">
      <c r="A70" s="4"/>
      <c r="B70" s="1"/>
      <c r="C70" s="5"/>
      <c r="D70" s="6"/>
      <c r="E70" s="6"/>
      <c r="F70" s="7"/>
    </row>
    <row r="71" spans="1:6" ht="18" x14ac:dyDescent="0.4">
      <c r="A71" s="4"/>
      <c r="B71" s="1"/>
      <c r="C71" s="5"/>
      <c r="D71" s="6"/>
      <c r="E71" s="6"/>
      <c r="F71" s="7"/>
    </row>
    <row r="72" spans="1:6" ht="18" x14ac:dyDescent="0.4">
      <c r="A72" s="4"/>
      <c r="B72" s="1"/>
      <c r="C72" s="5"/>
      <c r="D72" s="6"/>
      <c r="E72" s="6"/>
      <c r="F72" s="7"/>
    </row>
    <row r="73" spans="1:6" ht="18" x14ac:dyDescent="0.4">
      <c r="A73" s="4"/>
      <c r="B73" s="1"/>
      <c r="C73" s="5"/>
      <c r="D73" s="6"/>
      <c r="E73" s="6"/>
      <c r="F73" s="7"/>
    </row>
    <row r="74" spans="1:6" ht="18" x14ac:dyDescent="0.4">
      <c r="A74" s="4"/>
      <c r="B74" s="1"/>
      <c r="C74" s="5"/>
      <c r="D74" s="6"/>
      <c r="E74" s="6"/>
      <c r="F74" s="7"/>
    </row>
    <row r="75" spans="1:6" ht="18" x14ac:dyDescent="0.4">
      <c r="A75" s="4"/>
      <c r="B75" s="1"/>
      <c r="C75" s="5"/>
      <c r="D75" s="6"/>
      <c r="E75" s="6"/>
      <c r="F75" s="7"/>
    </row>
    <row r="76" spans="1:6" ht="18" x14ac:dyDescent="0.4">
      <c r="A76" s="4"/>
      <c r="B76" s="1"/>
      <c r="C76" s="5"/>
      <c r="D76" s="6"/>
      <c r="E76" s="6"/>
      <c r="F76" s="7"/>
    </row>
    <row r="77" spans="1:6" ht="18" x14ac:dyDescent="0.4">
      <c r="A77" s="4"/>
      <c r="B77" s="1"/>
      <c r="C77" s="5"/>
      <c r="D77" s="6"/>
      <c r="E77" s="6"/>
      <c r="F77" s="7"/>
    </row>
    <row r="78" spans="1:6" ht="18" x14ac:dyDescent="0.4">
      <c r="A78" s="4" t="s">
        <v>172</v>
      </c>
      <c r="B78" s="1"/>
      <c r="C78" s="5"/>
      <c r="D78" s="6">
        <v>0</v>
      </c>
      <c r="E78" s="6">
        <v>0</v>
      </c>
      <c r="F78" s="7">
        <f>F39+D78-E78</f>
        <v>533</v>
      </c>
    </row>
    <row r="79" spans="1:6" ht="18" x14ac:dyDescent="0.4">
      <c r="A79" s="4" t="s">
        <v>168</v>
      </c>
      <c r="B79" s="1"/>
      <c r="C79" s="5"/>
      <c r="D79" s="6">
        <v>0</v>
      </c>
      <c r="E79" s="6">
        <v>0</v>
      </c>
      <c r="F79" s="7">
        <f t="shared" si="0"/>
        <v>533</v>
      </c>
    </row>
    <row r="80" spans="1:6" ht="18" x14ac:dyDescent="0.4">
      <c r="D80" s="28">
        <v>0</v>
      </c>
    </row>
  </sheetData>
  <mergeCells count="1">
    <mergeCell ref="A58:C58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D6E89-9B53-472D-8353-A4FA6A10A284}">
  <dimension ref="A1:I79"/>
  <sheetViews>
    <sheetView rightToLeft="1" tabSelected="1" topLeftCell="A44" workbookViewId="0">
      <selection activeCell="F1" sqref="A1:F57"/>
    </sheetView>
  </sheetViews>
  <sheetFormatPr defaultRowHeight="14" x14ac:dyDescent="0.3"/>
  <cols>
    <col min="1" max="1" width="13" bestFit="1" customWidth="1"/>
    <col min="2" max="2" width="10.33203125" bestFit="1" customWidth="1"/>
    <col min="3" max="3" width="15.6640625" bestFit="1" customWidth="1"/>
    <col min="4" max="5" width="13.1640625" bestFit="1" customWidth="1"/>
    <col min="6" max="6" width="17.58203125" customWidth="1"/>
    <col min="7" max="7" width="19.83203125" bestFit="1" customWidth="1"/>
    <col min="9" max="9" width="14.58203125" bestFit="1" customWidth="1"/>
  </cols>
  <sheetData>
    <row r="1" spans="1:9" ht="18" x14ac:dyDescent="0.4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</row>
    <row r="2" spans="1:9" ht="18" x14ac:dyDescent="0.4">
      <c r="A2" s="4"/>
      <c r="B2" s="1"/>
      <c r="C2" s="5" t="s">
        <v>144</v>
      </c>
      <c r="D2" s="6">
        <v>2281</v>
      </c>
      <c r="E2" s="6">
        <v>0</v>
      </c>
      <c r="F2" s="7">
        <f>D2-E2</f>
        <v>2281</v>
      </c>
    </row>
    <row r="3" spans="1:9" ht="18" x14ac:dyDescent="0.4">
      <c r="A3" s="4">
        <v>44969</v>
      </c>
      <c r="B3" s="1" t="s">
        <v>203</v>
      </c>
      <c r="C3" s="5">
        <v>2411016138</v>
      </c>
      <c r="D3" s="6">
        <v>3305</v>
      </c>
      <c r="E3" s="6">
        <v>0</v>
      </c>
      <c r="F3" s="7">
        <f>F2+D3-E3</f>
        <v>5586</v>
      </c>
      <c r="I3" t="s">
        <v>204</v>
      </c>
    </row>
    <row r="4" spans="1:9" ht="18" x14ac:dyDescent="0.4">
      <c r="A4" s="4">
        <v>44969</v>
      </c>
      <c r="B4" s="1" t="s">
        <v>203</v>
      </c>
      <c r="C4" s="5">
        <v>2411016139</v>
      </c>
      <c r="D4" s="6">
        <v>3305</v>
      </c>
      <c r="E4" s="6">
        <v>0</v>
      </c>
      <c r="F4" s="7">
        <f t="shared" ref="F4:F57" si="0">F3+D4-E4</f>
        <v>8891</v>
      </c>
      <c r="I4" t="s">
        <v>204</v>
      </c>
    </row>
    <row r="5" spans="1:9" ht="18" x14ac:dyDescent="0.4">
      <c r="A5" s="4">
        <v>44969</v>
      </c>
      <c r="B5" s="1" t="s">
        <v>205</v>
      </c>
      <c r="C5" s="5">
        <v>2411017002</v>
      </c>
      <c r="D5" s="6">
        <v>1602</v>
      </c>
      <c r="E5" s="6">
        <v>3400</v>
      </c>
      <c r="F5" s="7">
        <f t="shared" si="0"/>
        <v>7093</v>
      </c>
    </row>
    <row r="6" spans="1:9" ht="18" x14ac:dyDescent="0.4">
      <c r="A6" s="4">
        <v>44969</v>
      </c>
      <c r="B6" s="1" t="s">
        <v>205</v>
      </c>
      <c r="C6" s="5">
        <v>2411017003</v>
      </c>
      <c r="D6" s="6">
        <v>1602</v>
      </c>
      <c r="E6" s="6">
        <v>0</v>
      </c>
      <c r="F6" s="7">
        <f t="shared" si="0"/>
        <v>8695</v>
      </c>
    </row>
    <row r="7" spans="1:9" ht="18" x14ac:dyDescent="0.4">
      <c r="A7" s="4">
        <v>44997</v>
      </c>
      <c r="B7" s="1" t="s">
        <v>206</v>
      </c>
      <c r="C7" s="5">
        <v>2411018964</v>
      </c>
      <c r="D7" s="6">
        <v>1396</v>
      </c>
      <c r="E7" s="6">
        <v>2988</v>
      </c>
      <c r="F7" s="7">
        <f t="shared" si="0"/>
        <v>7103</v>
      </c>
      <c r="H7">
        <v>3</v>
      </c>
    </row>
    <row r="8" spans="1:9" ht="18" x14ac:dyDescent="0.4">
      <c r="A8" s="4">
        <v>44997</v>
      </c>
      <c r="B8" s="1" t="s">
        <v>206</v>
      </c>
      <c r="C8" s="5">
        <v>2411018963</v>
      </c>
      <c r="D8" s="6">
        <v>1396</v>
      </c>
      <c r="E8" s="6">
        <v>0</v>
      </c>
      <c r="F8" s="7">
        <f t="shared" si="0"/>
        <v>8499</v>
      </c>
    </row>
    <row r="9" spans="1:9" ht="18" x14ac:dyDescent="0.4">
      <c r="A9" s="4">
        <v>45028</v>
      </c>
      <c r="B9" s="1" t="s">
        <v>207</v>
      </c>
      <c r="C9" s="5">
        <v>2411021923</v>
      </c>
      <c r="D9" s="6">
        <v>1574</v>
      </c>
      <c r="E9" s="6">
        <v>3300</v>
      </c>
      <c r="F9" s="7">
        <f t="shared" si="0"/>
        <v>6773</v>
      </c>
      <c r="G9" s="32" t="s">
        <v>210</v>
      </c>
      <c r="H9" t="s">
        <v>178</v>
      </c>
    </row>
    <row r="10" spans="1:9" ht="18" x14ac:dyDescent="0.4">
      <c r="A10" s="4">
        <v>45028</v>
      </c>
      <c r="B10" s="1" t="s">
        <v>211</v>
      </c>
      <c r="C10" s="5">
        <v>2411021940</v>
      </c>
      <c r="D10" s="6">
        <v>1712</v>
      </c>
      <c r="E10" s="6">
        <v>0</v>
      </c>
      <c r="F10" s="7">
        <f t="shared" si="0"/>
        <v>8485</v>
      </c>
    </row>
    <row r="11" spans="1:9" ht="18" x14ac:dyDescent="0.4">
      <c r="A11" s="4">
        <v>45058</v>
      </c>
      <c r="B11" s="1" t="s">
        <v>208</v>
      </c>
      <c r="C11" s="5">
        <v>2411023749</v>
      </c>
      <c r="D11" s="6">
        <v>1602</v>
      </c>
      <c r="E11" s="6">
        <v>1702</v>
      </c>
      <c r="F11" s="7">
        <f t="shared" si="0"/>
        <v>8385</v>
      </c>
    </row>
    <row r="12" spans="1:9" ht="18" x14ac:dyDescent="0.4">
      <c r="A12" s="4">
        <v>45058</v>
      </c>
      <c r="B12" s="1" t="s">
        <v>209</v>
      </c>
      <c r="C12" s="5">
        <v>2411024275</v>
      </c>
      <c r="D12" s="6">
        <v>1602</v>
      </c>
      <c r="E12" s="6">
        <v>1702</v>
      </c>
      <c r="F12" s="7">
        <f t="shared" si="0"/>
        <v>8285</v>
      </c>
      <c r="G12" s="29"/>
    </row>
    <row r="13" spans="1:9" ht="18" x14ac:dyDescent="0.4">
      <c r="A13" s="4">
        <v>45089</v>
      </c>
      <c r="B13" s="1" t="s">
        <v>212</v>
      </c>
      <c r="C13" s="8">
        <v>2411024555</v>
      </c>
      <c r="D13" s="6">
        <v>739</v>
      </c>
      <c r="E13" s="10">
        <v>0</v>
      </c>
      <c r="F13" s="7">
        <f t="shared" si="0"/>
        <v>9024</v>
      </c>
      <c r="G13" s="29"/>
      <c r="I13" t="s">
        <v>204</v>
      </c>
    </row>
    <row r="14" spans="1:9" ht="18" x14ac:dyDescent="0.4">
      <c r="A14" s="4">
        <v>45089</v>
      </c>
      <c r="B14" s="1" t="s">
        <v>212</v>
      </c>
      <c r="C14" s="8">
        <v>2411024554</v>
      </c>
      <c r="D14" s="6">
        <v>942</v>
      </c>
      <c r="E14" s="6">
        <v>0</v>
      </c>
      <c r="F14" s="7">
        <f t="shared" si="0"/>
        <v>9966</v>
      </c>
      <c r="I14" t="s">
        <v>204</v>
      </c>
    </row>
    <row r="15" spans="1:9" ht="18" x14ac:dyDescent="0.4">
      <c r="A15" s="4">
        <v>45089</v>
      </c>
      <c r="B15" s="1" t="s">
        <v>212</v>
      </c>
      <c r="C15" s="8">
        <v>2411024557</v>
      </c>
      <c r="D15" s="6">
        <v>739</v>
      </c>
      <c r="E15" s="6">
        <v>0</v>
      </c>
      <c r="F15" s="7">
        <f t="shared" si="0"/>
        <v>10705</v>
      </c>
      <c r="I15" t="s">
        <v>204</v>
      </c>
    </row>
    <row r="16" spans="1:9" ht="18" x14ac:dyDescent="0.4">
      <c r="A16" s="4">
        <v>45089</v>
      </c>
      <c r="B16" s="1" t="s">
        <v>212</v>
      </c>
      <c r="C16" s="8">
        <v>2411024556</v>
      </c>
      <c r="D16" s="6">
        <v>739</v>
      </c>
      <c r="E16" s="6">
        <v>0</v>
      </c>
      <c r="F16" s="7">
        <f t="shared" si="0"/>
        <v>11444</v>
      </c>
      <c r="I16" t="s">
        <v>204</v>
      </c>
    </row>
    <row r="17" spans="1:8" ht="18" x14ac:dyDescent="0.4">
      <c r="A17" s="4">
        <v>45089</v>
      </c>
      <c r="B17" s="1" t="s">
        <v>213</v>
      </c>
      <c r="C17" s="5">
        <v>2411025816</v>
      </c>
      <c r="D17" s="6">
        <v>1602</v>
      </c>
      <c r="E17" s="10">
        <v>5106</v>
      </c>
      <c r="F17" s="7">
        <f t="shared" si="0"/>
        <v>7940</v>
      </c>
      <c r="G17" s="11"/>
      <c r="H17" s="11"/>
    </row>
    <row r="18" spans="1:8" ht="18" x14ac:dyDescent="0.4">
      <c r="A18" s="4">
        <v>45089</v>
      </c>
      <c r="B18" s="1" t="s">
        <v>214</v>
      </c>
      <c r="C18" s="5">
        <v>2411025841</v>
      </c>
      <c r="D18" s="6">
        <v>1602</v>
      </c>
      <c r="E18" s="6">
        <v>0</v>
      </c>
      <c r="F18" s="7">
        <f t="shared" si="0"/>
        <v>9542</v>
      </c>
    </row>
    <row r="19" spans="1:8" ht="18" x14ac:dyDescent="0.4">
      <c r="A19" s="4">
        <v>45089</v>
      </c>
      <c r="B19" s="1" t="s">
        <v>215</v>
      </c>
      <c r="C19" s="5">
        <v>2411025900</v>
      </c>
      <c r="D19" s="6">
        <v>1602</v>
      </c>
      <c r="E19" s="10">
        <v>1068</v>
      </c>
      <c r="F19" s="7">
        <f t="shared" si="0"/>
        <v>10076</v>
      </c>
      <c r="G19" s="33" t="s">
        <v>221</v>
      </c>
    </row>
    <row r="20" spans="1:8" ht="18" x14ac:dyDescent="0.4">
      <c r="A20" s="4">
        <v>45119</v>
      </c>
      <c r="B20" s="1" t="s">
        <v>216</v>
      </c>
      <c r="C20" s="5">
        <v>2411028369</v>
      </c>
      <c r="D20" s="6">
        <v>3000</v>
      </c>
      <c r="E20" s="6">
        <v>6200</v>
      </c>
      <c r="F20" s="7">
        <f t="shared" si="0"/>
        <v>6876</v>
      </c>
    </row>
    <row r="21" spans="1:8" ht="18" x14ac:dyDescent="0.4">
      <c r="A21" s="4">
        <v>45119</v>
      </c>
      <c r="B21" s="1" t="s">
        <v>216</v>
      </c>
      <c r="C21" s="5">
        <v>2411028378</v>
      </c>
      <c r="D21" s="6">
        <v>3000</v>
      </c>
      <c r="E21" s="6">
        <v>0</v>
      </c>
      <c r="F21" s="7">
        <f t="shared" si="0"/>
        <v>9876</v>
      </c>
      <c r="G21" s="11"/>
    </row>
    <row r="22" spans="1:8" ht="18" x14ac:dyDescent="0.4">
      <c r="A22" s="4">
        <v>45150</v>
      </c>
      <c r="B22" s="1" t="s">
        <v>217</v>
      </c>
      <c r="C22" s="5">
        <v>2411028847</v>
      </c>
      <c r="D22" s="6">
        <v>1714</v>
      </c>
      <c r="E22" s="6">
        <v>1700</v>
      </c>
      <c r="F22" s="7">
        <f t="shared" si="0"/>
        <v>9890</v>
      </c>
    </row>
    <row r="23" spans="1:8" ht="18" x14ac:dyDescent="0.4">
      <c r="A23" s="4">
        <v>45150</v>
      </c>
      <c r="B23" s="1">
        <v>361113</v>
      </c>
      <c r="C23" s="5">
        <v>2411029048</v>
      </c>
      <c r="D23" s="6">
        <v>1128</v>
      </c>
      <c r="E23" s="6">
        <v>1228</v>
      </c>
      <c r="F23" s="7">
        <f t="shared" si="0"/>
        <v>9790</v>
      </c>
    </row>
    <row r="24" spans="1:8" ht="18" x14ac:dyDescent="0.4">
      <c r="A24" s="4">
        <v>45150</v>
      </c>
      <c r="B24" s="1">
        <v>361118</v>
      </c>
      <c r="C24" s="5">
        <v>2411029056</v>
      </c>
      <c r="D24" s="6">
        <v>1467</v>
      </c>
      <c r="E24" s="6">
        <v>1567</v>
      </c>
      <c r="F24" s="7">
        <f t="shared" si="0"/>
        <v>9690</v>
      </c>
    </row>
    <row r="25" spans="1:8" ht="18" x14ac:dyDescent="0.4">
      <c r="A25" s="4">
        <v>45150</v>
      </c>
      <c r="B25" s="1" t="s">
        <v>218</v>
      </c>
      <c r="C25" s="5">
        <v>2411029313</v>
      </c>
      <c r="D25" s="6">
        <v>1467</v>
      </c>
      <c r="E25" s="6">
        <v>1567</v>
      </c>
      <c r="F25" s="7">
        <f t="shared" si="0"/>
        <v>9590</v>
      </c>
    </row>
    <row r="26" spans="1:8" ht="18" x14ac:dyDescent="0.4">
      <c r="A26" s="4">
        <v>45150</v>
      </c>
      <c r="B26" s="1">
        <v>361118</v>
      </c>
      <c r="C26" s="5">
        <v>2411032291</v>
      </c>
      <c r="D26" s="6">
        <v>1561</v>
      </c>
      <c r="E26" s="6">
        <v>1631</v>
      </c>
      <c r="F26" s="7">
        <f t="shared" si="0"/>
        <v>9520</v>
      </c>
      <c r="G26" t="s">
        <v>236</v>
      </c>
    </row>
    <row r="27" spans="1:8" ht="18" x14ac:dyDescent="0.4">
      <c r="A27" s="4">
        <v>45211</v>
      </c>
      <c r="B27" s="1" t="s">
        <v>219</v>
      </c>
      <c r="C27" s="5">
        <v>2411032357</v>
      </c>
      <c r="D27" s="6">
        <v>1396</v>
      </c>
      <c r="E27" s="6">
        <v>7671</v>
      </c>
      <c r="F27" s="7">
        <f t="shared" si="0"/>
        <v>3245</v>
      </c>
    </row>
    <row r="28" spans="1:8" ht="18" x14ac:dyDescent="0.4">
      <c r="A28" s="4">
        <v>45211</v>
      </c>
      <c r="B28" s="1" t="s">
        <v>219</v>
      </c>
      <c r="C28" s="5">
        <v>2411032358</v>
      </c>
      <c r="D28" s="6">
        <v>1396</v>
      </c>
      <c r="E28" s="6">
        <v>0</v>
      </c>
      <c r="F28" s="7">
        <f t="shared" si="0"/>
        <v>4641</v>
      </c>
    </row>
    <row r="29" spans="1:8" ht="18" x14ac:dyDescent="0.4">
      <c r="A29" s="4">
        <v>45211</v>
      </c>
      <c r="B29" s="1" t="s">
        <v>219</v>
      </c>
      <c r="C29" s="5">
        <v>2411032354</v>
      </c>
      <c r="D29" s="6">
        <v>1396</v>
      </c>
      <c r="E29" s="6">
        <v>0</v>
      </c>
      <c r="F29" s="7">
        <f t="shared" si="0"/>
        <v>6037</v>
      </c>
    </row>
    <row r="30" spans="1:8" ht="18" x14ac:dyDescent="0.4">
      <c r="A30" s="4">
        <v>45211</v>
      </c>
      <c r="B30" s="1" t="s">
        <v>219</v>
      </c>
      <c r="C30" s="5">
        <v>2411032359</v>
      </c>
      <c r="D30" s="6">
        <v>171</v>
      </c>
      <c r="E30" s="6">
        <v>0</v>
      </c>
      <c r="F30" s="7">
        <f t="shared" si="0"/>
        <v>6208</v>
      </c>
    </row>
    <row r="31" spans="1:8" ht="18" x14ac:dyDescent="0.4">
      <c r="A31" s="4">
        <v>45211</v>
      </c>
      <c r="B31" s="1" t="s">
        <v>219</v>
      </c>
      <c r="C31" s="5">
        <v>2411032356</v>
      </c>
      <c r="D31" s="6">
        <v>1396</v>
      </c>
      <c r="E31" s="6">
        <v>0</v>
      </c>
      <c r="F31" s="7">
        <f t="shared" si="0"/>
        <v>7604</v>
      </c>
    </row>
    <row r="32" spans="1:8" ht="18" x14ac:dyDescent="0.4">
      <c r="A32" s="4">
        <v>45211</v>
      </c>
      <c r="B32" s="1" t="s">
        <v>219</v>
      </c>
      <c r="C32" s="5">
        <v>2411032355</v>
      </c>
      <c r="D32" s="6">
        <v>1396</v>
      </c>
      <c r="E32" s="6">
        <v>0</v>
      </c>
      <c r="F32" s="7">
        <f t="shared" si="0"/>
        <v>9000</v>
      </c>
    </row>
    <row r="33" spans="1:9" ht="18" x14ac:dyDescent="0.4">
      <c r="A33" s="4">
        <v>45211</v>
      </c>
      <c r="B33" s="1">
        <v>361523</v>
      </c>
      <c r="C33" s="5">
        <v>2411032786</v>
      </c>
      <c r="D33" s="6">
        <v>1602</v>
      </c>
      <c r="E33" s="6">
        <v>3200</v>
      </c>
      <c r="F33" s="7">
        <f t="shared" si="0"/>
        <v>7402</v>
      </c>
    </row>
    <row r="34" spans="1:9" ht="18" x14ac:dyDescent="0.4">
      <c r="A34" s="4">
        <v>45211</v>
      </c>
      <c r="B34" s="1">
        <v>361523</v>
      </c>
      <c r="C34" s="5">
        <v>2411032787</v>
      </c>
      <c r="D34" s="6">
        <v>1602</v>
      </c>
      <c r="E34" s="6">
        <v>0</v>
      </c>
      <c r="F34" s="7">
        <f t="shared" si="0"/>
        <v>9004</v>
      </c>
    </row>
    <row r="35" spans="1:9" ht="18" x14ac:dyDescent="0.4">
      <c r="A35" s="4">
        <v>45242</v>
      </c>
      <c r="B35" s="1" t="s">
        <v>220</v>
      </c>
      <c r="C35" s="5">
        <v>2411033381</v>
      </c>
      <c r="D35" s="6">
        <v>1602</v>
      </c>
      <c r="E35" s="6">
        <v>670</v>
      </c>
      <c r="F35" s="7">
        <f t="shared" si="0"/>
        <v>9936</v>
      </c>
    </row>
    <row r="36" spans="1:9" ht="18" x14ac:dyDescent="0.4">
      <c r="A36" s="4">
        <v>45242</v>
      </c>
      <c r="B36" s="1">
        <v>361651</v>
      </c>
      <c r="C36" s="5">
        <v>2411034036</v>
      </c>
      <c r="D36" s="6">
        <v>1602</v>
      </c>
      <c r="E36" s="6">
        <v>1600</v>
      </c>
      <c r="F36" s="7">
        <f t="shared" si="0"/>
        <v>9938</v>
      </c>
    </row>
    <row r="37" spans="1:9" ht="18" x14ac:dyDescent="0.4">
      <c r="A37" s="4">
        <v>45242</v>
      </c>
      <c r="B37" s="1" t="s">
        <v>222</v>
      </c>
      <c r="C37" s="5">
        <v>2411034977</v>
      </c>
      <c r="D37" s="6">
        <v>2768</v>
      </c>
      <c r="E37" s="6">
        <v>2868</v>
      </c>
      <c r="F37" s="7">
        <f t="shared" si="0"/>
        <v>9838</v>
      </c>
      <c r="G37" s="30"/>
    </row>
    <row r="38" spans="1:9" ht="18" x14ac:dyDescent="0.4">
      <c r="A38" s="4">
        <v>45242</v>
      </c>
      <c r="B38" s="1" t="s">
        <v>223</v>
      </c>
      <c r="C38" s="5">
        <v>2411035630</v>
      </c>
      <c r="D38" s="6">
        <v>1966</v>
      </c>
      <c r="E38" s="6">
        <v>1900</v>
      </c>
      <c r="F38" s="7">
        <f t="shared" si="0"/>
        <v>9904</v>
      </c>
      <c r="G38" s="30"/>
    </row>
    <row r="39" spans="1:9" ht="18" x14ac:dyDescent="0.4">
      <c r="A39" s="4" t="s">
        <v>224</v>
      </c>
      <c r="B39" s="1" t="s">
        <v>225</v>
      </c>
      <c r="C39" s="5">
        <v>2411038950</v>
      </c>
      <c r="D39" s="6">
        <v>2025</v>
      </c>
      <c r="E39" s="6">
        <v>0</v>
      </c>
      <c r="F39" s="7">
        <f t="shared" si="0"/>
        <v>11929</v>
      </c>
      <c r="G39" s="30" t="s">
        <v>226</v>
      </c>
      <c r="I39" t="s">
        <v>91</v>
      </c>
    </row>
    <row r="40" spans="1:9" ht="18" x14ac:dyDescent="0.4">
      <c r="A40" s="4" t="s">
        <v>227</v>
      </c>
      <c r="B40" s="1" t="s">
        <v>228</v>
      </c>
      <c r="C40" s="5">
        <v>2411042527</v>
      </c>
      <c r="D40" s="6">
        <v>1602</v>
      </c>
      <c r="E40" s="6">
        <v>1600</v>
      </c>
      <c r="F40" s="7">
        <f t="shared" si="0"/>
        <v>11931</v>
      </c>
      <c r="G40" s="30"/>
    </row>
    <row r="41" spans="1:9" ht="18" x14ac:dyDescent="0.4">
      <c r="A41" s="4" t="s">
        <v>227</v>
      </c>
      <c r="B41" s="1" t="s">
        <v>229</v>
      </c>
      <c r="C41" s="5">
        <v>2411042790</v>
      </c>
      <c r="D41" s="6">
        <v>1602</v>
      </c>
      <c r="E41" s="6">
        <v>1600</v>
      </c>
      <c r="F41" s="7">
        <f t="shared" si="0"/>
        <v>11933</v>
      </c>
      <c r="G41" s="9" t="s">
        <v>231</v>
      </c>
    </row>
    <row r="42" spans="1:9" ht="18" x14ac:dyDescent="0.4">
      <c r="A42" s="4" t="s">
        <v>227</v>
      </c>
      <c r="B42" s="1" t="s">
        <v>230</v>
      </c>
      <c r="C42" s="5">
        <v>2411042816</v>
      </c>
      <c r="D42" s="6">
        <v>1602</v>
      </c>
      <c r="E42" s="6">
        <v>1600</v>
      </c>
      <c r="F42" s="7">
        <f t="shared" si="0"/>
        <v>11935</v>
      </c>
    </row>
    <row r="43" spans="1:9" ht="18" x14ac:dyDescent="0.4">
      <c r="A43" s="4" t="s">
        <v>232</v>
      </c>
      <c r="B43" s="1" t="s">
        <v>234</v>
      </c>
      <c r="C43" s="5">
        <v>2411047052</v>
      </c>
      <c r="D43" s="6">
        <v>1467</v>
      </c>
      <c r="E43" s="6">
        <v>2950</v>
      </c>
      <c r="F43" s="7">
        <f t="shared" si="0"/>
        <v>10452</v>
      </c>
    </row>
    <row r="44" spans="1:9" ht="18" x14ac:dyDescent="0.4">
      <c r="A44" s="4" t="s">
        <v>232</v>
      </c>
      <c r="B44" s="1" t="s">
        <v>234</v>
      </c>
      <c r="C44" s="5">
        <v>2411047053</v>
      </c>
      <c r="D44" s="6">
        <v>1467</v>
      </c>
      <c r="E44" s="6">
        <v>0</v>
      </c>
      <c r="F44" s="7">
        <f t="shared" si="0"/>
        <v>11919</v>
      </c>
    </row>
    <row r="45" spans="1:9" ht="18" x14ac:dyDescent="0.4">
      <c r="A45" s="4" t="s">
        <v>232</v>
      </c>
      <c r="B45" s="1" t="s">
        <v>235</v>
      </c>
      <c r="C45" s="5">
        <v>2411046200</v>
      </c>
      <c r="D45" s="6">
        <v>2768</v>
      </c>
      <c r="E45" s="6">
        <v>2868</v>
      </c>
      <c r="F45" s="7">
        <f t="shared" si="0"/>
        <v>11819</v>
      </c>
    </row>
    <row r="46" spans="1:9" ht="18" x14ac:dyDescent="0.4">
      <c r="A46" s="4" t="s">
        <v>237</v>
      </c>
      <c r="B46" s="1" t="s">
        <v>238</v>
      </c>
      <c r="C46" s="5">
        <v>2411050016</v>
      </c>
      <c r="D46" s="6">
        <v>1357</v>
      </c>
      <c r="E46" s="6">
        <v>4000</v>
      </c>
      <c r="F46" s="7">
        <f t="shared" si="0"/>
        <v>9176</v>
      </c>
      <c r="G46" t="s">
        <v>241</v>
      </c>
    </row>
    <row r="47" spans="1:9" ht="18" x14ac:dyDescent="0.4">
      <c r="A47" s="4" t="s">
        <v>237</v>
      </c>
      <c r="B47" s="1" t="s">
        <v>238</v>
      </c>
      <c r="C47" s="5">
        <v>2411050017</v>
      </c>
      <c r="D47" s="6">
        <v>1357</v>
      </c>
      <c r="E47" s="6">
        <v>0</v>
      </c>
      <c r="F47" s="7">
        <f t="shared" si="0"/>
        <v>10533</v>
      </c>
    </row>
    <row r="48" spans="1:9" ht="18" x14ac:dyDescent="0.4">
      <c r="A48" s="4" t="s">
        <v>237</v>
      </c>
      <c r="B48" s="1" t="s">
        <v>239</v>
      </c>
      <c r="C48" s="5">
        <v>2411050114</v>
      </c>
      <c r="D48" s="6">
        <v>1357</v>
      </c>
      <c r="E48" s="6">
        <v>0</v>
      </c>
      <c r="F48" s="7">
        <f t="shared" si="0"/>
        <v>11890</v>
      </c>
    </row>
    <row r="49" spans="1:9" ht="18" x14ac:dyDescent="0.4">
      <c r="A49" s="4" t="s">
        <v>240</v>
      </c>
      <c r="B49" s="1"/>
      <c r="C49" s="5" t="s">
        <v>36</v>
      </c>
      <c r="D49" s="6">
        <v>0</v>
      </c>
      <c r="E49" s="6">
        <v>7500</v>
      </c>
      <c r="F49" s="7">
        <f t="shared" si="0"/>
        <v>4390</v>
      </c>
      <c r="G49" t="s">
        <v>242</v>
      </c>
    </row>
    <row r="50" spans="1:9" ht="18" x14ac:dyDescent="0.4">
      <c r="A50" s="4" t="s">
        <v>243</v>
      </c>
      <c r="B50" s="1" t="s">
        <v>245</v>
      </c>
      <c r="C50" s="5">
        <v>2411056835</v>
      </c>
      <c r="D50" s="6">
        <v>3000</v>
      </c>
      <c r="E50" s="6">
        <v>4850</v>
      </c>
      <c r="F50" s="7">
        <f t="shared" si="0"/>
        <v>2540</v>
      </c>
    </row>
    <row r="51" spans="1:9" ht="18" x14ac:dyDescent="0.4">
      <c r="A51" s="4" t="s">
        <v>243</v>
      </c>
      <c r="B51" s="1" t="s">
        <v>246</v>
      </c>
      <c r="C51" s="5">
        <v>2411056837</v>
      </c>
      <c r="D51" s="6">
        <v>1602</v>
      </c>
      <c r="E51" s="6">
        <v>0</v>
      </c>
      <c r="F51" s="7">
        <f t="shared" si="0"/>
        <v>4142</v>
      </c>
    </row>
    <row r="52" spans="1:9" ht="18" x14ac:dyDescent="0.4">
      <c r="A52" s="4" t="s">
        <v>247</v>
      </c>
      <c r="B52" s="1" t="s">
        <v>248</v>
      </c>
      <c r="C52" s="5">
        <v>2411063628</v>
      </c>
      <c r="D52" s="6">
        <v>1602</v>
      </c>
      <c r="E52" s="6">
        <v>1702</v>
      </c>
      <c r="F52" s="7">
        <f t="shared" si="0"/>
        <v>4042</v>
      </c>
    </row>
    <row r="53" spans="1:9" ht="18" x14ac:dyDescent="0.4">
      <c r="A53" s="4" t="s">
        <v>249</v>
      </c>
      <c r="B53" s="1" t="s">
        <v>245</v>
      </c>
      <c r="C53" s="5">
        <v>2411065544</v>
      </c>
      <c r="D53" s="6">
        <v>8</v>
      </c>
      <c r="E53" s="6">
        <v>100</v>
      </c>
      <c r="F53" s="7">
        <f t="shared" si="0"/>
        <v>3950</v>
      </c>
    </row>
    <row r="54" spans="1:9" ht="54" x14ac:dyDescent="0.4">
      <c r="A54" s="18" t="s">
        <v>250</v>
      </c>
      <c r="B54" s="42" t="s">
        <v>253</v>
      </c>
      <c r="C54" s="8">
        <v>2411029312</v>
      </c>
      <c r="D54" s="6">
        <v>0</v>
      </c>
      <c r="E54" s="10">
        <v>1190</v>
      </c>
      <c r="F54" s="7">
        <f t="shared" si="0"/>
        <v>2760</v>
      </c>
      <c r="G54" t="s">
        <v>251</v>
      </c>
    </row>
    <row r="55" spans="1:9" ht="18" x14ac:dyDescent="0.4">
      <c r="A55" s="4" t="s">
        <v>252</v>
      </c>
      <c r="B55" s="1" t="s">
        <v>254</v>
      </c>
      <c r="C55" s="5">
        <v>2411068681</v>
      </c>
      <c r="D55" s="6">
        <v>2675</v>
      </c>
      <c r="E55" s="6">
        <v>0</v>
      </c>
      <c r="F55" s="7">
        <f t="shared" si="0"/>
        <v>5435</v>
      </c>
      <c r="I55" t="s">
        <v>244</v>
      </c>
    </row>
    <row r="56" spans="1:9" ht="18" x14ac:dyDescent="0.4">
      <c r="A56" s="4" t="s">
        <v>252</v>
      </c>
      <c r="B56" s="1" t="s">
        <v>245</v>
      </c>
      <c r="C56" s="5">
        <v>2411068821</v>
      </c>
      <c r="D56" s="6">
        <v>83</v>
      </c>
      <c r="E56" s="6">
        <v>100</v>
      </c>
      <c r="F56" s="7">
        <f t="shared" si="0"/>
        <v>5418</v>
      </c>
    </row>
    <row r="57" spans="1:9" ht="18" x14ac:dyDescent="0.4">
      <c r="A57" s="39" t="s">
        <v>202</v>
      </c>
      <c r="B57" s="40"/>
      <c r="C57" s="41"/>
      <c r="D57" s="15">
        <f>SUM(D2:D56)</f>
        <v>86546</v>
      </c>
      <c r="E57" s="15">
        <f>SUM(E2:E56)</f>
        <v>81128</v>
      </c>
      <c r="F57" s="31">
        <f>D57-E57</f>
        <v>5418</v>
      </c>
    </row>
    <row r="58" spans="1:9" ht="18" x14ac:dyDescent="0.4">
      <c r="A58" s="4"/>
      <c r="B58" s="1"/>
      <c r="C58" s="5"/>
      <c r="D58" s="6"/>
      <c r="E58" s="6"/>
      <c r="F58" s="7"/>
    </row>
    <row r="59" spans="1:9" ht="18" x14ac:dyDescent="0.4">
      <c r="A59" s="4"/>
      <c r="B59" s="1"/>
      <c r="C59" s="5"/>
      <c r="D59" s="6"/>
      <c r="E59" s="6"/>
      <c r="F59" s="7"/>
    </row>
    <row r="60" spans="1:9" ht="18" x14ac:dyDescent="0.4">
      <c r="A60" s="4"/>
      <c r="B60" s="1"/>
      <c r="C60" s="5"/>
      <c r="D60" s="6"/>
      <c r="E60" s="6"/>
      <c r="F60" s="7"/>
    </row>
    <row r="61" spans="1:9" ht="18" x14ac:dyDescent="0.4">
      <c r="A61" s="4"/>
      <c r="B61" s="1"/>
      <c r="C61" s="5"/>
      <c r="D61" s="6"/>
      <c r="E61" s="6"/>
      <c r="F61" s="7"/>
    </row>
    <row r="62" spans="1:9" ht="18" x14ac:dyDescent="0.4">
      <c r="A62" s="4"/>
      <c r="B62" s="1"/>
      <c r="C62" s="5"/>
      <c r="D62" s="6"/>
      <c r="E62" s="6"/>
      <c r="F62" s="7"/>
    </row>
    <row r="63" spans="1:9" ht="18" x14ac:dyDescent="0.4">
      <c r="A63" s="4"/>
      <c r="B63" s="1"/>
      <c r="C63" s="5"/>
      <c r="D63" s="6"/>
      <c r="E63" s="6"/>
      <c r="F63" s="7"/>
    </row>
    <row r="64" spans="1:9" ht="18" x14ac:dyDescent="0.4">
      <c r="A64" s="4"/>
      <c r="B64" s="1"/>
      <c r="C64" s="5"/>
      <c r="D64" s="6"/>
      <c r="E64" s="6"/>
      <c r="F64" s="7"/>
    </row>
    <row r="65" spans="1:6" ht="18" x14ac:dyDescent="0.4">
      <c r="A65" s="4"/>
      <c r="B65" s="1"/>
      <c r="C65" s="5"/>
      <c r="D65" s="6"/>
      <c r="E65" s="6"/>
      <c r="F65" s="7"/>
    </row>
    <row r="66" spans="1:6" ht="18" x14ac:dyDescent="0.4">
      <c r="A66" s="4"/>
      <c r="B66" s="1"/>
      <c r="C66" s="5"/>
      <c r="D66" s="6"/>
      <c r="E66" s="6"/>
      <c r="F66" s="7"/>
    </row>
    <row r="67" spans="1:6" ht="18" x14ac:dyDescent="0.4">
      <c r="A67" s="4"/>
      <c r="B67" s="1"/>
      <c r="C67" s="5"/>
      <c r="D67" s="6"/>
      <c r="E67" s="6"/>
      <c r="F67" s="7"/>
    </row>
    <row r="68" spans="1:6" ht="18" x14ac:dyDescent="0.4">
      <c r="A68" s="4"/>
      <c r="B68" s="1"/>
      <c r="C68" s="5"/>
      <c r="D68" s="6"/>
      <c r="E68" s="6"/>
      <c r="F68" s="7"/>
    </row>
    <row r="69" spans="1:6" ht="18" x14ac:dyDescent="0.4">
      <c r="A69" s="4"/>
      <c r="B69" s="1"/>
      <c r="C69" s="5"/>
      <c r="D69" s="6"/>
      <c r="E69" s="6"/>
      <c r="F69" s="7"/>
    </row>
    <row r="70" spans="1:6" ht="18" x14ac:dyDescent="0.4">
      <c r="A70" s="4"/>
      <c r="B70" s="1"/>
      <c r="C70" s="5"/>
      <c r="D70" s="6"/>
      <c r="E70" s="6"/>
      <c r="F70" s="7"/>
    </row>
    <row r="71" spans="1:6" ht="18" x14ac:dyDescent="0.4">
      <c r="A71" s="4"/>
      <c r="B71" s="1"/>
      <c r="C71" s="5"/>
      <c r="D71" s="6"/>
      <c r="E71" s="6"/>
      <c r="F71" s="7"/>
    </row>
    <row r="72" spans="1:6" ht="18" x14ac:dyDescent="0.4">
      <c r="A72" s="4"/>
      <c r="B72" s="1"/>
      <c r="C72" s="5"/>
      <c r="D72" s="6"/>
      <c r="E72" s="6"/>
      <c r="F72" s="7"/>
    </row>
    <row r="73" spans="1:6" ht="18" x14ac:dyDescent="0.4">
      <c r="A73" s="4"/>
      <c r="B73" s="1"/>
      <c r="C73" s="5"/>
      <c r="D73" s="6"/>
      <c r="E73" s="6"/>
      <c r="F73" s="7"/>
    </row>
    <row r="74" spans="1:6" ht="18" x14ac:dyDescent="0.4">
      <c r="A74" s="4"/>
      <c r="B74" s="1"/>
      <c r="C74" s="5"/>
      <c r="D74" s="6"/>
      <c r="E74" s="6"/>
      <c r="F74" s="7"/>
    </row>
    <row r="75" spans="1:6" ht="18" x14ac:dyDescent="0.4">
      <c r="A75" s="4"/>
      <c r="B75" s="1"/>
      <c r="C75" s="5"/>
      <c r="D75" s="6"/>
      <c r="E75" s="6"/>
      <c r="F75" s="7"/>
    </row>
    <row r="76" spans="1:6" ht="18" x14ac:dyDescent="0.4">
      <c r="A76" s="4"/>
      <c r="B76" s="1"/>
      <c r="C76" s="5"/>
      <c r="D76" s="6"/>
      <c r="E76" s="6"/>
      <c r="F76" s="7"/>
    </row>
    <row r="77" spans="1:6" ht="18" x14ac:dyDescent="0.4">
      <c r="A77" s="4" t="s">
        <v>172</v>
      </c>
      <c r="B77" s="1"/>
      <c r="C77" s="5"/>
      <c r="D77" s="6">
        <v>0</v>
      </c>
      <c r="E77" s="6">
        <v>0</v>
      </c>
      <c r="F77" s="7">
        <f>F39+D77-E77</f>
        <v>11929</v>
      </c>
    </row>
    <row r="78" spans="1:6" ht="18" x14ac:dyDescent="0.4">
      <c r="A78" s="4" t="s">
        <v>168</v>
      </c>
      <c r="B78" s="1"/>
      <c r="C78" s="5"/>
      <c r="D78" s="6">
        <v>0</v>
      </c>
      <c r="E78" s="6">
        <v>0</v>
      </c>
      <c r="F78" s="7">
        <f t="shared" ref="F78" si="1">F77+D78-E78</f>
        <v>11929</v>
      </c>
    </row>
    <row r="79" spans="1:6" ht="18" x14ac:dyDescent="0.4">
      <c r="D79" s="28">
        <v>0</v>
      </c>
    </row>
  </sheetData>
  <mergeCells count="1">
    <mergeCell ref="A57:C57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4</vt:i4>
      </vt:variant>
    </vt:vector>
  </HeadingPairs>
  <TitlesOfParts>
    <vt:vector size="4" baseType="lpstr">
      <vt:lpstr>سبتمبر</vt:lpstr>
      <vt:lpstr>اكتوبر </vt:lpstr>
      <vt:lpstr>نوفمبر </vt:lpstr>
      <vt:lpstr>ديسمبر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mohammed mutahar</cp:lastModifiedBy>
  <cp:lastPrinted>2023-08-23T17:22:32Z</cp:lastPrinted>
  <dcterms:created xsi:type="dcterms:W3CDTF">2023-08-23T16:29:55Z</dcterms:created>
  <dcterms:modified xsi:type="dcterms:W3CDTF">2024-03-04T19:10:02Z</dcterms:modified>
</cp:coreProperties>
</file>